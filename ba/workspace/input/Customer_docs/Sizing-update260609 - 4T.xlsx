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ettelgroup-my.sharepoint.com/personal/balt1_viettel_com_vn/Documents/Documents/6. Sizing/Sizing TOSS VNA/"/>
    </mc:Choice>
  </mc:AlternateContent>
  <xr:revisionPtr revIDLastSave="70" documentId="13_ncr:1_{7DF8C823-65C9-4DF8-95DC-21A61E1ED3FE}" xr6:coauthVersionLast="47" xr6:coauthVersionMax="47" xr10:uidLastSave="{150C6FEE-E633-4B98-AE6D-8F780DA64C2C}"/>
  <bookViews>
    <workbookView xWindow="-120" yWindow="-120" windowWidth="29040" windowHeight="15720" firstSheet="1" activeTab="4" xr2:uid="{8C60C208-E2D3-4426-BA03-8E7617B2AA94}"/>
  </bookViews>
  <sheets>
    <sheet name="Chi tiết máy chủ 18 TB" sheetId="12" r:id="rId1"/>
    <sheet name="Chi tiết máy chủ 10TB" sheetId="14" r:id="rId2"/>
    <sheet name="Chi tiết máy chủ 5TB" sheetId="13" r:id="rId3"/>
    <sheet name="Băng thông" sheetId="9" r:id="rId4"/>
    <sheet name="Chi tiết máy chủ 4TB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5" l="1"/>
  <c r="C13" i="15" s="1"/>
  <c r="E60" i="15"/>
  <c r="C12" i="15" s="1"/>
  <c r="D60" i="15"/>
  <c r="C11" i="15" s="1"/>
  <c r="G56" i="15"/>
  <c r="G54" i="15"/>
  <c r="G53" i="15"/>
  <c r="G52" i="15"/>
  <c r="G40" i="15"/>
  <c r="G38" i="15"/>
  <c r="G36" i="15"/>
  <c r="G32" i="15"/>
  <c r="F69" i="14"/>
  <c r="C13" i="14" s="1"/>
  <c r="E69" i="14"/>
  <c r="C12" i="14" s="1"/>
  <c r="D69" i="14"/>
  <c r="C11" i="14" s="1"/>
  <c r="G65" i="14"/>
  <c r="G63" i="14"/>
  <c r="G62" i="14"/>
  <c r="G61" i="14"/>
  <c r="G46" i="14"/>
  <c r="G44" i="14"/>
  <c r="G42" i="14"/>
  <c r="G40" i="14"/>
  <c r="G38" i="14"/>
  <c r="G36" i="14"/>
  <c r="G32" i="14"/>
  <c r="C16" i="14"/>
  <c r="G69" i="14" l="1"/>
  <c r="C20" i="14" s="1"/>
  <c r="C16" i="15"/>
  <c r="G60" i="15"/>
  <c r="C20" i="15" s="1"/>
  <c r="G36" i="13"/>
  <c r="G38" i="13"/>
  <c r="G40" i="13"/>
  <c r="G42" i="13"/>
  <c r="G44" i="13"/>
  <c r="G46" i="13"/>
  <c r="F69" i="13" l="1"/>
  <c r="C13" i="13" s="1"/>
  <c r="E69" i="13"/>
  <c r="C12" i="13" s="1"/>
  <c r="D69" i="13"/>
  <c r="C11" i="13" s="1"/>
  <c r="G65" i="13"/>
  <c r="G63" i="13"/>
  <c r="G62" i="13"/>
  <c r="G61" i="13"/>
  <c r="G32" i="13"/>
  <c r="C16" i="13"/>
  <c r="G69" i="13" l="1"/>
  <c r="C20" i="13" s="1"/>
  <c r="G63" i="12" l="1"/>
  <c r="G62" i="12"/>
  <c r="G36" i="12"/>
  <c r="G38" i="12"/>
  <c r="G40" i="12"/>
  <c r="G42" i="12"/>
  <c r="G44" i="12"/>
  <c r="G46" i="12"/>
  <c r="G65" i="12"/>
  <c r="G61" i="12"/>
  <c r="G32" i="12"/>
  <c r="C16" i="12"/>
  <c r="G69" i="12" l="1"/>
  <c r="C20" i="12" s="1"/>
  <c r="F69" i="12"/>
  <c r="C13" i="12" s="1"/>
  <c r="E69" i="12"/>
  <c r="C12" i="12" s="1"/>
  <c r="D69" i="12"/>
  <c r="C11" i="12" s="1"/>
  <c r="E6" i="9" l="1"/>
  <c r="E7" i="9" s="1"/>
  <c r="E10" i="9" s="1"/>
  <c r="E11" i="9" s="1"/>
</calcChain>
</file>

<file path=xl/sharedStrings.xml><?xml version="1.0" encoding="utf-8"?>
<sst xmlns="http://schemas.openxmlformats.org/spreadsheetml/2006/main" count="595" uniqueCount="127">
  <si>
    <t>Máy chủ</t>
  </si>
  <si>
    <t>Zone</t>
  </si>
  <si>
    <t>Ghi chú</t>
  </si>
  <si>
    <t>DMZ</t>
  </si>
  <si>
    <t>APP</t>
  </si>
  <si>
    <t>DB</t>
  </si>
  <si>
    <t xml:space="preserve">TT </t>
  </si>
  <si>
    <t>Tên dịch vụ</t>
  </si>
  <si>
    <t>Số lượng</t>
  </si>
  <si>
    <t>Đơn vị</t>
  </si>
  <si>
    <t xml:space="preserve">I </t>
  </si>
  <si>
    <t xml:space="preserve">Serer Cloud </t>
  </si>
  <si>
    <t xml:space="preserve">  </t>
  </si>
  <si>
    <t xml:space="preserve">vCPU </t>
  </si>
  <si>
    <t>vCPU</t>
  </si>
  <si>
    <t xml:space="preserve"> </t>
  </si>
  <si>
    <t>RAM</t>
  </si>
  <si>
    <t>GB</t>
  </si>
  <si>
    <t>Pubic IP</t>
  </si>
  <si>
    <t>IP</t>
  </si>
  <si>
    <t>Băng thông</t>
  </si>
  <si>
    <t>Số VM</t>
  </si>
  <si>
    <t>node</t>
  </si>
  <si>
    <t>Gói</t>
  </si>
  <si>
    <t xml:space="preserve">Cloud Firewall </t>
  </si>
  <si>
    <t>VCF02-Basic</t>
  </si>
  <si>
    <t>License</t>
  </si>
  <si>
    <t xml:space="preserve">IV </t>
  </si>
  <si>
    <t xml:space="preserve">Cloud Backup </t>
  </si>
  <si>
    <t>Dung lượng backup</t>
  </si>
  <si>
    <t xml:space="preserve">Hybrid Connect </t>
  </si>
  <si>
    <t>Phí đấu nối</t>
  </si>
  <si>
    <t>Port</t>
  </si>
  <si>
    <t>V</t>
  </si>
  <si>
    <t>II</t>
  </si>
  <si>
    <t>Thông số</t>
  </si>
  <si>
    <t>Value</t>
  </si>
  <si>
    <t>Note</t>
  </si>
  <si>
    <t>User upload tài liệu bay</t>
  </si>
  <si>
    <t>bộ/h</t>
  </si>
  <si>
    <t>User dùng khác trên FIMS</t>
  </si>
  <si>
    <t>20% nhu cầu dữ liệu so với upload tài liệu</t>
  </si>
  <si>
    <t>Tích hợp đến các hệ thống khác</t>
  </si>
  <si>
    <t>MOPLUS lấy tài liệu bay 100% upload, các hệ thống khác 50% dữ liệu so với upload tài liệu bay</t>
  </si>
  <si>
    <t>Kích thước tài liệu bay</t>
  </si>
  <si>
    <t>MB</t>
  </si>
  <si>
    <t>Tổng dung lượng data trong 1h</t>
  </si>
  <si>
    <t>Tổng dung lượng data trong 1 phút</t>
  </si>
  <si>
    <t>Thời gian truyền dữ liệu</t>
  </si>
  <si>
    <t>s</t>
  </si>
  <si>
    <t xml:space="preserve">Dự phòng </t>
  </si>
  <si>
    <t>Băng thông(MB/s)</t>
  </si>
  <si>
    <t>MB/s</t>
  </si>
  <si>
    <t>Băng thông(Mbps)</t>
  </si>
  <si>
    <t>Mbps</t>
  </si>
  <si>
    <t>vHC port 200Mbps</t>
  </si>
  <si>
    <t>Băng thông VPNL2 200Mbps</t>
  </si>
  <si>
    <t>10% chuyến bay trên tổng 500 chuyến/ngày tại khung giờ cao điểm.
Mỗi chuyến bay cần cập nhật 2 bộ tài liệu.
Tính toán chính do nhu cầu dữ liệu là lớn nhất</t>
  </si>
  <si>
    <t xml:space="preserve">Tổng thể </t>
  </si>
  <si>
    <t>STT</t>
  </si>
  <si>
    <t>SSD</t>
  </si>
  <si>
    <t>Proxy Server 1</t>
  </si>
  <si>
    <t>Proxy Server 2</t>
  </si>
  <si>
    <t>Master Node 1</t>
  </si>
  <si>
    <t>Master Node 2</t>
  </si>
  <si>
    <t>Master Node 3</t>
  </si>
  <si>
    <t>Log, Monitor, CICD</t>
  </si>
  <si>
    <t>Danh sách máy chủ</t>
  </si>
  <si>
    <t>Web Worker Node 1</t>
  </si>
  <si>
    <t>Web Worker Node 2</t>
  </si>
  <si>
    <t>Web Worker Node 3</t>
  </si>
  <si>
    <t>Web Worker Node 4</t>
  </si>
  <si>
    <t>Web Worker Node 5</t>
  </si>
  <si>
    <t>Web Worker Node 6</t>
  </si>
  <si>
    <t>HAProxy xử lý SSL termination và load balancing. Node 1 để HA, tách DMZ giảm rủi ro bảo mật.</t>
  </si>
  <si>
    <t>HAProxy node dự phòng, active/standby hoặc active/active, đảm bảo không single point of failure.</t>
  </si>
  <si>
    <t>Kubernetes control-plane. 3 master đảm bảo quorum etcd, chịu lỗi 1 node.</t>
  </si>
  <si>
    <t>Kubernetes control-plane, tách khỏi worker để tăng độ ổn định.</t>
  </si>
  <si>
    <t>Kubernetes control-plane, đảm bảo HA cho API Server, Scheduler.</t>
  </si>
  <si>
    <t>Xử lý ETL/batch job. Tách khỏi web để tránh ảnh hưởng hiệu năng realtime.</t>
  </si>
  <si>
    <t>ETL worker HA, xử lý song song workload dữ liệu lớn.</t>
  </si>
  <si>
    <t>ETL worker, đảm bảo mở rộng ngang cho pipeline dữ liệu.</t>
  </si>
  <si>
    <t>Redis Sentinel + Kafka broker. Đặt trong APP zone để gần service.</t>
  </si>
  <si>
    <t>Redis Sentinel + Kafka broker. Đảm bảo HA và leader election.</t>
  </si>
  <si>
    <t>Redis Sentinel + Kafka broker. Chịu lỗi 1 node.</t>
  </si>
  <si>
    <t>ClickHouse node phân tích OLAP. SSD lớn cho columnar storage.</t>
  </si>
  <si>
    <t>ClickHouse replica/shard. Đảm bảo HA và query song song.</t>
  </si>
  <si>
    <t>ClickHouse node, scale-out cho workload BI/report.</t>
  </si>
  <si>
    <t>MariaDB primary/cluster node. SSD đảm bảo IOPS cho OLTP.</t>
  </si>
  <si>
    <t>MariaDB replica/cluster node. HA và read scaling.</t>
  </si>
  <si>
    <t>MariaDB node thứ 3, đảm bảo quorum và failover.</t>
  </si>
  <si>
    <t>Tổng</t>
  </si>
  <si>
    <t>Cache MQ Server 1</t>
  </si>
  <si>
    <t>Cache MQ Server 2</t>
  </si>
  <si>
    <t>Cache MQ Server 3</t>
  </si>
  <si>
    <t>OLAP Database Server 1</t>
  </si>
  <si>
    <t>OLAP Database Server 2</t>
  </si>
  <si>
    <t>OLAP Database Server 3</t>
  </si>
  <si>
    <t>OLTP Database Server 1</t>
  </si>
  <si>
    <t>OLTP Database Server 2</t>
  </si>
  <si>
    <t>OLTP Database Server 3</t>
  </si>
  <si>
    <t>Chạy workload web/app</t>
  </si>
  <si>
    <t>Lưu file phân tán. Đảm bảo chịu lỗi 2 node</t>
  </si>
  <si>
    <t>Phục vụ triển khai, giám sát</t>
  </si>
  <si>
    <t>ETL Worker Node 1</t>
  </si>
  <si>
    <t>Sizing đảm bảo cho:</t>
  </si>
  <si>
    <t>Hiệu suất lưu trữ File 0.67%</t>
  </si>
  <si>
    <t>Có tái sử dụng một phần hệ thống giám sát của MOPLUS</t>
  </si>
  <si>
    <t xml:space="preserve">Phục vụ 200 CCU,  500request/giây, 10Kb/request </t>
  </si>
  <si>
    <t>Storage data</t>
  </si>
  <si>
    <t>Backup</t>
  </si>
  <si>
    <t xml:space="preserve">Dữ liệu hệ thống 18 TB ( 5.5 TB DB và 12.5 TB file ) </t>
  </si>
  <si>
    <t xml:space="preserve">Dữ liệu hệ thống 5TB ( 1.5 TB DB và  3.5 TB file ) </t>
  </si>
  <si>
    <t xml:space="preserve">Dữ liệu hệ thống 10 TB ( 3 TB DB và  7 TB file ) </t>
  </si>
  <si>
    <t xml:space="preserve">Dữ liệu hệ thống 4TB ( 1 TB DB và  3 TB file ) </t>
  </si>
  <si>
    <t>2TB</t>
  </si>
  <si>
    <t>600DB</t>
  </si>
  <si>
    <t>1500 file</t>
  </si>
  <si>
    <t>Ghi chú
(phân chia phân vùng ổ cứng)</t>
  </si>
  <si>
    <t>Chia 3 phân vùng disk server:
/OS : 150G
/data: 1600 GB
/data_bk: 1600 GB</t>
  </si>
  <si>
    <t>/OS : 100GB</t>
  </si>
  <si>
    <t>Chi 2 phân vùng disk server:
/OS:100GB
/data_backup: 100GB phục vụ backup config K8s, etcd..</t>
  </si>
  <si>
    <t>Phân vùng disk server:
/OS : 300G</t>
  </si>
  <si>
    <t>Phân vùng disk server:
/OS : 200G</t>
  </si>
  <si>
    <t>Phân vùng disk server:
/OS : 80G
/data: 420GB</t>
  </si>
  <si>
    <t>Chia 3 phân vùng disk server:
/OS : 100GB
/data: 400 GB
/data_bk: 500 GB</t>
  </si>
  <si>
    <t>Chia 2 phân vùng disk server:
/OS : 100GB
/data: 400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</si>
</sst>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0"/>
      <color rgb="FF000000"/>
      <name val="Calibri"/>
      <scheme val="minor"/>
    </font>
    <font>
      <b/>
      <sz val="18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7" fillId="0" borderId="0" xfId="1"/>
    <xf numFmtId="0" fontId="8" fillId="0" borderId="0" xfId="1" applyFont="1"/>
    <xf numFmtId="0" fontId="1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right"/>
    </xf>
    <xf numFmtId="0" fontId="10" fillId="3" borderId="1" xfId="1" applyFont="1" applyFill="1" applyBorder="1" applyAlignment="1">
      <alignment horizontal="left"/>
    </xf>
    <xf numFmtId="0" fontId="10" fillId="4" borderId="1" xfId="1" applyFont="1" applyFill="1" applyBorder="1" applyAlignment="1">
      <alignment horizontal="left"/>
    </xf>
    <xf numFmtId="0" fontId="1" fillId="0" borderId="1" xfId="1" applyFont="1" applyBorder="1" applyAlignment="1">
      <alignment horizontal="center"/>
    </xf>
    <xf numFmtId="0" fontId="0" fillId="0" borderId="1" xfId="0" applyBorder="1"/>
    <xf numFmtId="0" fontId="10" fillId="3" borderId="2" xfId="1" applyFont="1" applyFill="1" applyBorder="1" applyAlignment="1">
      <alignment horizontal="left" vertical="top"/>
    </xf>
    <xf numFmtId="0" fontId="10" fillId="3" borderId="3" xfId="1" applyFont="1" applyFill="1" applyBorder="1" applyAlignment="1">
      <alignment horizontal="left" vertical="top"/>
    </xf>
    <xf numFmtId="0" fontId="9" fillId="5" borderId="1" xfId="1" applyFont="1" applyFill="1" applyBorder="1"/>
    <xf numFmtId="0" fontId="4" fillId="0" borderId="0" xfId="0" applyFont="1"/>
    <xf numFmtId="0" fontId="1" fillId="0" borderId="1" xfId="1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/>
    </xf>
    <xf numFmtId="0" fontId="10" fillId="0" borderId="2" xfId="1" applyFont="1" applyBorder="1" applyAlignment="1">
      <alignment horizontal="left" vertical="top"/>
    </xf>
    <xf numFmtId="0" fontId="10" fillId="0" borderId="3" xfId="1" applyFont="1" applyBorder="1" applyAlignment="1">
      <alignment horizontal="left" vertical="top"/>
    </xf>
    <xf numFmtId="0" fontId="1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10" fillId="0" borderId="1" xfId="1" applyFont="1" applyBorder="1" applyAlignment="1">
      <alignment horizontal="left" wrapText="1"/>
    </xf>
    <xf numFmtId="0" fontId="9" fillId="0" borderId="4" xfId="1" applyFont="1" applyBorder="1" applyAlignment="1">
      <alignment horizontal="left" vertical="top"/>
    </xf>
    <xf numFmtId="0" fontId="10" fillId="0" borderId="4" xfId="1" applyFont="1" applyBorder="1" applyAlignment="1">
      <alignment horizontal="left" vertical="top"/>
    </xf>
    <xf numFmtId="0" fontId="10" fillId="3" borderId="4" xfId="1" applyFont="1" applyFill="1" applyBorder="1" applyAlignment="1">
      <alignment horizontal="left" vertical="top"/>
    </xf>
    <xf numFmtId="0" fontId="10" fillId="0" borderId="4" xfId="1" applyFont="1" applyBorder="1" applyAlignment="1">
      <alignment horizontal="left" wrapText="1"/>
    </xf>
    <xf numFmtId="0" fontId="9" fillId="0" borderId="5" xfId="1" applyFont="1" applyBorder="1" applyAlignment="1">
      <alignment horizontal="left" vertical="top"/>
    </xf>
    <xf numFmtId="0" fontId="10" fillId="0" borderId="6" xfId="1" applyFont="1" applyBorder="1" applyAlignment="1">
      <alignment horizontal="left" vertical="top"/>
    </xf>
    <xf numFmtId="0" fontId="10" fillId="3" borderId="6" xfId="1" applyFont="1" applyFill="1" applyBorder="1" applyAlignment="1">
      <alignment horizontal="left" vertical="top"/>
    </xf>
    <xf numFmtId="0" fontId="10" fillId="0" borderId="8" xfId="1" applyFont="1" applyBorder="1" applyAlignment="1">
      <alignment horizontal="left" wrapText="1"/>
    </xf>
    <xf numFmtId="0" fontId="9" fillId="0" borderId="9" xfId="1" applyFont="1" applyBorder="1" applyAlignment="1">
      <alignment horizontal="left" vertical="top"/>
    </xf>
    <xf numFmtId="0" fontId="10" fillId="0" borderId="10" xfId="1" applyFont="1" applyBorder="1" applyAlignment="1">
      <alignment horizontal="left" vertical="top"/>
    </xf>
    <xf numFmtId="0" fontId="10" fillId="3" borderId="10" xfId="1" applyFont="1" applyFill="1" applyBorder="1" applyAlignment="1">
      <alignment horizontal="left" vertical="top"/>
    </xf>
    <xf numFmtId="0" fontId="10" fillId="0" borderId="12" xfId="1" applyFont="1" applyBorder="1" applyAlignment="1">
      <alignment horizontal="left" wrapText="1"/>
    </xf>
    <xf numFmtId="0" fontId="9" fillId="5" borderId="2" xfId="1" applyFont="1" applyFill="1" applyBorder="1"/>
    <xf numFmtId="0" fontId="9" fillId="0" borderId="13" xfId="1" applyFont="1" applyBorder="1" applyAlignment="1">
      <alignment horizontal="left"/>
    </xf>
    <xf numFmtId="0" fontId="10" fillId="0" borderId="7" xfId="1" applyFont="1" applyBorder="1" applyAlignment="1">
      <alignment horizontal="left"/>
    </xf>
    <xf numFmtId="0" fontId="10" fillId="3" borderId="7" xfId="1" applyFont="1" applyFill="1" applyBorder="1" applyAlignment="1">
      <alignment horizontal="left"/>
    </xf>
    <xf numFmtId="0" fontId="10" fillId="0" borderId="14" xfId="1" applyFont="1" applyBorder="1" applyAlignment="1">
      <alignment horizontal="left" wrapText="1"/>
    </xf>
    <xf numFmtId="0" fontId="9" fillId="0" borderId="15" xfId="1" applyFont="1" applyBorder="1" applyAlignment="1">
      <alignment horizontal="left"/>
    </xf>
    <xf numFmtId="0" fontId="10" fillId="0" borderId="16" xfId="1" applyFont="1" applyBorder="1" applyAlignment="1">
      <alignment horizontal="left"/>
    </xf>
    <xf numFmtId="0" fontId="9" fillId="0" borderId="17" xfId="1" applyFont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10" fillId="3" borderId="11" xfId="1" applyFont="1" applyFill="1" applyBorder="1" applyAlignment="1">
      <alignment horizontal="left"/>
    </xf>
    <xf numFmtId="0" fontId="10" fillId="0" borderId="18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10" fillId="0" borderId="3" xfId="1" applyFont="1" applyBorder="1" applyAlignment="1">
      <alignment horizontal="left"/>
    </xf>
    <xf numFmtId="0" fontId="10" fillId="3" borderId="3" xfId="1" applyFont="1" applyFill="1" applyBorder="1" applyAlignment="1">
      <alignment horizontal="left"/>
    </xf>
    <xf numFmtId="0" fontId="1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4E8E422-9163-4477-8C91-9A79AEFDE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0943-AF11-4A04-B7CD-5E3C0E7D8CB9}">
  <dimension ref="A1:H69"/>
  <sheetViews>
    <sheetView workbookViewId="0">
      <selection activeCell="H20" sqref="H20"/>
    </sheetView>
  </sheetViews>
  <sheetFormatPr defaultRowHeight="15" x14ac:dyDescent="0.25"/>
  <cols>
    <col min="2" max="2" width="28.140625" customWidth="1"/>
    <col min="7" max="7" width="11.28515625" customWidth="1"/>
    <col min="8" max="8" width="109.140625" customWidth="1"/>
  </cols>
  <sheetData>
    <row r="1" spans="1:5" s="3" customFormat="1" ht="18.75" x14ac:dyDescent="0.3">
      <c r="A1" s="2" t="s">
        <v>58</v>
      </c>
    </row>
    <row r="2" spans="1:5" s="3" customFormat="1" ht="18.75" x14ac:dyDescent="0.3">
      <c r="A2" s="26" t="s">
        <v>105</v>
      </c>
    </row>
    <row r="3" spans="1:5" s="3" customFormat="1" ht="18.75" x14ac:dyDescent="0.3">
      <c r="A3" s="2"/>
      <c r="B3" s="3" t="s">
        <v>111</v>
      </c>
    </row>
    <row r="4" spans="1:5" s="3" customFormat="1" ht="18.75" x14ac:dyDescent="0.3">
      <c r="A4" s="2"/>
      <c r="B4" s="3" t="s">
        <v>106</v>
      </c>
    </row>
    <row r="5" spans="1:5" s="3" customFormat="1" ht="18.75" x14ac:dyDescent="0.3">
      <c r="A5" s="2"/>
      <c r="B5" s="3" t="s">
        <v>107</v>
      </c>
    </row>
    <row r="6" spans="1:5" s="3" customFormat="1" ht="18.75" x14ac:dyDescent="0.3">
      <c r="A6" s="2"/>
      <c r="B6" s="3" t="s">
        <v>108</v>
      </c>
    </row>
    <row r="7" spans="1:5" s="3" customFormat="1" ht="18.75" x14ac:dyDescent="0.3"/>
    <row r="8" spans="1:5" s="3" customFormat="1" ht="33" customHeight="1" x14ac:dyDescent="0.3">
      <c r="A8" s="28" t="s">
        <v>6</v>
      </c>
      <c r="B8" s="28" t="s">
        <v>7</v>
      </c>
      <c r="C8" s="29" t="s">
        <v>8</v>
      </c>
      <c r="D8" s="28" t="s">
        <v>9</v>
      </c>
      <c r="E8" s="28" t="s">
        <v>2</v>
      </c>
    </row>
    <row r="9" spans="1:5" s="3" customFormat="1" ht="18.75" x14ac:dyDescent="0.3">
      <c r="A9" s="28"/>
      <c r="B9" s="28"/>
      <c r="C9" s="29"/>
      <c r="D9" s="28"/>
      <c r="E9" s="28"/>
    </row>
    <row r="10" spans="1:5" s="3" customFormat="1" ht="18.75" x14ac:dyDescent="0.3">
      <c r="A10" s="7" t="s">
        <v>10</v>
      </c>
      <c r="B10" s="7" t="s">
        <v>11</v>
      </c>
      <c r="C10" s="8"/>
      <c r="D10" s="28" t="s">
        <v>12</v>
      </c>
      <c r="E10" s="28"/>
    </row>
    <row r="11" spans="1:5" s="3" customFormat="1" ht="18.75" x14ac:dyDescent="0.3">
      <c r="A11" s="8">
        <v>1.1000000000000001</v>
      </c>
      <c r="B11" s="8" t="s">
        <v>13</v>
      </c>
      <c r="C11" s="8">
        <f>D69</f>
        <v>311</v>
      </c>
      <c r="D11" s="8" t="s">
        <v>14</v>
      </c>
      <c r="E11" s="8" t="s">
        <v>15</v>
      </c>
    </row>
    <row r="12" spans="1:5" s="3" customFormat="1" ht="18.75" x14ac:dyDescent="0.3">
      <c r="A12" s="8">
        <v>1.2</v>
      </c>
      <c r="B12" s="8" t="s">
        <v>16</v>
      </c>
      <c r="C12" s="8">
        <f>E69</f>
        <v>964</v>
      </c>
      <c r="D12" s="8" t="s">
        <v>17</v>
      </c>
      <c r="E12" s="8" t="s">
        <v>15</v>
      </c>
    </row>
    <row r="13" spans="1:5" s="3" customFormat="1" ht="18.75" x14ac:dyDescent="0.3">
      <c r="A13" s="8">
        <v>1.3</v>
      </c>
      <c r="B13" s="8" t="s">
        <v>109</v>
      </c>
      <c r="C13" s="8">
        <f>F69</f>
        <v>43600</v>
      </c>
      <c r="D13" s="8" t="s">
        <v>17</v>
      </c>
      <c r="E13" s="8" t="s">
        <v>15</v>
      </c>
    </row>
    <row r="14" spans="1:5" s="3" customFormat="1" ht="18.75" x14ac:dyDescent="0.3">
      <c r="A14" s="8">
        <v>1.4</v>
      </c>
      <c r="B14" s="8" t="s">
        <v>18</v>
      </c>
      <c r="C14" s="8">
        <v>3</v>
      </c>
      <c r="D14" s="8" t="s">
        <v>19</v>
      </c>
      <c r="E14" s="8" t="s">
        <v>15</v>
      </c>
    </row>
    <row r="15" spans="1:5" s="3" customFormat="1" ht="18.75" x14ac:dyDescent="0.3">
      <c r="A15" s="8">
        <v>1.5</v>
      </c>
      <c r="B15" s="8" t="s">
        <v>20</v>
      </c>
      <c r="C15" s="8"/>
      <c r="D15" s="8"/>
      <c r="E15" s="8"/>
    </row>
    <row r="16" spans="1:5" s="3" customFormat="1" ht="18.75" x14ac:dyDescent="0.3">
      <c r="A16" s="8">
        <v>1.6</v>
      </c>
      <c r="B16" s="8" t="s">
        <v>21</v>
      </c>
      <c r="C16" s="8">
        <f>COUNT(A29:A67)</f>
        <v>27</v>
      </c>
      <c r="D16" s="8" t="s">
        <v>22</v>
      </c>
      <c r="E16" s="8"/>
    </row>
    <row r="17" spans="1:8" s="3" customFormat="1" ht="18.75" x14ac:dyDescent="0.3">
      <c r="A17" s="7" t="s">
        <v>34</v>
      </c>
      <c r="B17" s="7" t="s">
        <v>24</v>
      </c>
      <c r="C17" s="8"/>
      <c r="D17" s="8"/>
      <c r="E17" s="7" t="s">
        <v>12</v>
      </c>
    </row>
    <row r="18" spans="1:8" s="3" customFormat="1" ht="18.75" x14ac:dyDescent="0.3">
      <c r="A18" s="8">
        <v>2.1</v>
      </c>
      <c r="B18" s="8" t="s">
        <v>25</v>
      </c>
      <c r="C18" s="8">
        <v>2</v>
      </c>
      <c r="D18" s="8" t="s">
        <v>26</v>
      </c>
      <c r="E18" s="8" t="s">
        <v>15</v>
      </c>
    </row>
    <row r="19" spans="1:8" s="3" customFormat="1" ht="18.75" x14ac:dyDescent="0.3">
      <c r="A19" s="7" t="s">
        <v>27</v>
      </c>
      <c r="B19" s="7" t="s">
        <v>28</v>
      </c>
      <c r="C19" s="8"/>
      <c r="D19" s="8"/>
      <c r="E19" s="7" t="s">
        <v>12</v>
      </c>
    </row>
    <row r="20" spans="1:8" s="3" customFormat="1" ht="18.75" x14ac:dyDescent="0.3">
      <c r="A20" s="8">
        <v>4.0999999999999996</v>
      </c>
      <c r="B20" s="8" t="s">
        <v>29</v>
      </c>
      <c r="C20" s="8">
        <f>G69</f>
        <v>31500</v>
      </c>
      <c r="D20" s="8" t="s">
        <v>17</v>
      </c>
      <c r="E20" s="8"/>
    </row>
    <row r="21" spans="1:8" s="3" customFormat="1" ht="18.75" x14ac:dyDescent="0.3">
      <c r="A21" s="7" t="s">
        <v>33</v>
      </c>
      <c r="B21" s="7" t="s">
        <v>30</v>
      </c>
      <c r="C21" s="8"/>
      <c r="D21" s="8" t="s">
        <v>12</v>
      </c>
      <c r="E21" s="7"/>
    </row>
    <row r="22" spans="1:8" s="3" customFormat="1" ht="18.75" x14ac:dyDescent="0.3">
      <c r="A22" s="8" t="s">
        <v>15</v>
      </c>
      <c r="B22" s="8" t="s">
        <v>31</v>
      </c>
      <c r="C22" s="8">
        <v>2</v>
      </c>
      <c r="D22" s="8" t="s">
        <v>23</v>
      </c>
      <c r="E22" s="8" t="s">
        <v>15</v>
      </c>
    </row>
    <row r="23" spans="1:8" s="3" customFormat="1" ht="18.75" x14ac:dyDescent="0.3">
      <c r="A23" s="8">
        <v>5.0999999999999996</v>
      </c>
      <c r="B23" s="8" t="s">
        <v>55</v>
      </c>
      <c r="C23" s="8">
        <v>2</v>
      </c>
      <c r="D23" s="8" t="s">
        <v>32</v>
      </c>
      <c r="E23" s="8"/>
    </row>
    <row r="24" spans="1:8" s="3" customFormat="1" ht="33" x14ac:dyDescent="0.3">
      <c r="A24" s="8">
        <v>5.2</v>
      </c>
      <c r="B24" s="8" t="s">
        <v>56</v>
      </c>
      <c r="C24" s="8">
        <v>2</v>
      </c>
      <c r="D24" s="8" t="s">
        <v>23</v>
      </c>
      <c r="E24" s="8"/>
    </row>
    <row r="25" spans="1:8" ht="23.25" x14ac:dyDescent="0.35">
      <c r="A25" s="13" t="s">
        <v>67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2"/>
      <c r="B27" s="12"/>
      <c r="C27" s="12"/>
      <c r="D27" s="12"/>
      <c r="E27" s="12"/>
      <c r="F27" s="12"/>
      <c r="G27" s="12"/>
      <c r="H27" s="12"/>
    </row>
    <row r="28" spans="1:8" ht="18.75" x14ac:dyDescent="0.25">
      <c r="A28" s="14" t="s">
        <v>59</v>
      </c>
      <c r="B28" s="14" t="s">
        <v>0</v>
      </c>
      <c r="C28" s="14" t="s">
        <v>1</v>
      </c>
      <c r="D28" s="14" t="s">
        <v>14</v>
      </c>
      <c r="E28" s="14" t="s">
        <v>16</v>
      </c>
      <c r="F28" s="14" t="s">
        <v>60</v>
      </c>
      <c r="G28" s="14" t="s">
        <v>110</v>
      </c>
      <c r="H28" s="14" t="s">
        <v>2</v>
      </c>
    </row>
    <row r="29" spans="1:8" ht="18.75" x14ac:dyDescent="0.3">
      <c r="A29" s="15">
        <v>1</v>
      </c>
      <c r="B29" s="16" t="s">
        <v>61</v>
      </c>
      <c r="C29" s="17" t="s">
        <v>3</v>
      </c>
      <c r="D29" s="18">
        <v>4</v>
      </c>
      <c r="E29" s="18">
        <v>8</v>
      </c>
      <c r="F29" s="18">
        <v>100</v>
      </c>
      <c r="G29" s="18"/>
      <c r="H29" s="16" t="s">
        <v>74</v>
      </c>
    </row>
    <row r="30" spans="1:8" ht="18.75" x14ac:dyDescent="0.3">
      <c r="A30" s="15">
        <v>2</v>
      </c>
      <c r="B30" s="16" t="s">
        <v>62</v>
      </c>
      <c r="C30" s="17" t="s">
        <v>3</v>
      </c>
      <c r="D30" s="18">
        <v>4</v>
      </c>
      <c r="E30" s="18">
        <v>8</v>
      </c>
      <c r="F30" s="18">
        <v>100</v>
      </c>
      <c r="G30" s="18"/>
      <c r="H30" s="16" t="s">
        <v>75</v>
      </c>
    </row>
    <row r="31" spans="1:8" ht="18.75" x14ac:dyDescent="0.3">
      <c r="A31" s="25"/>
      <c r="B31" s="25"/>
      <c r="C31" s="25"/>
      <c r="D31" s="25"/>
      <c r="E31" s="25"/>
      <c r="F31" s="25"/>
      <c r="G31" s="25"/>
      <c r="H31" s="25"/>
    </row>
    <row r="32" spans="1:8" ht="18.75" x14ac:dyDescent="0.3">
      <c r="A32" s="15">
        <v>3</v>
      </c>
      <c r="B32" s="16" t="s">
        <v>63</v>
      </c>
      <c r="C32" s="19" t="s">
        <v>4</v>
      </c>
      <c r="D32" s="18">
        <v>8</v>
      </c>
      <c r="E32" s="18">
        <v>16</v>
      </c>
      <c r="F32" s="18">
        <v>200</v>
      </c>
      <c r="G32" s="18">
        <f>F32</f>
        <v>200</v>
      </c>
      <c r="H32" s="16" t="s">
        <v>76</v>
      </c>
    </row>
    <row r="33" spans="1:8" ht="18.75" x14ac:dyDescent="0.3">
      <c r="A33" s="15">
        <v>4</v>
      </c>
      <c r="B33" s="16" t="s">
        <v>64</v>
      </c>
      <c r="C33" s="19" t="s">
        <v>4</v>
      </c>
      <c r="D33" s="18">
        <v>8</v>
      </c>
      <c r="E33" s="18">
        <v>16</v>
      </c>
      <c r="F33" s="18">
        <v>200</v>
      </c>
      <c r="G33" s="18"/>
      <c r="H33" s="16" t="s">
        <v>77</v>
      </c>
    </row>
    <row r="34" spans="1:8" ht="18.75" x14ac:dyDescent="0.3">
      <c r="A34" s="15">
        <v>5</v>
      </c>
      <c r="B34" s="16" t="s">
        <v>65</v>
      </c>
      <c r="C34" s="19" t="s">
        <v>4</v>
      </c>
      <c r="D34" s="18">
        <v>8</v>
      </c>
      <c r="E34" s="18">
        <v>16</v>
      </c>
      <c r="F34" s="18">
        <v>200</v>
      </c>
      <c r="G34" s="18"/>
      <c r="H34" s="16" t="s">
        <v>78</v>
      </c>
    </row>
    <row r="35" spans="1:8" ht="18.75" x14ac:dyDescent="0.3">
      <c r="A35" s="30">
        <v>6</v>
      </c>
      <c r="B35" s="32" t="s">
        <v>68</v>
      </c>
      <c r="C35" s="23" t="s">
        <v>4</v>
      </c>
      <c r="D35" s="5">
        <v>14</v>
      </c>
      <c r="E35" s="5">
        <v>36</v>
      </c>
      <c r="F35" s="5">
        <v>300</v>
      </c>
      <c r="G35" s="5"/>
      <c r="H35" s="16" t="s">
        <v>101</v>
      </c>
    </row>
    <row r="36" spans="1:8" ht="18.75" x14ac:dyDescent="0.3">
      <c r="A36" s="31"/>
      <c r="B36" s="33"/>
      <c r="C36" s="24"/>
      <c r="D36" s="18"/>
      <c r="E36" s="18"/>
      <c r="F36" s="18">
        <v>3300</v>
      </c>
      <c r="G36" s="18">
        <f>F36</f>
        <v>3300</v>
      </c>
      <c r="H36" s="16" t="s">
        <v>102</v>
      </c>
    </row>
    <row r="37" spans="1:8" ht="18.75" customHeight="1" x14ac:dyDescent="0.3">
      <c r="A37" s="30">
        <v>7</v>
      </c>
      <c r="B37" s="32" t="s">
        <v>69</v>
      </c>
      <c r="C37" s="23" t="s">
        <v>4</v>
      </c>
      <c r="D37" s="5">
        <v>14</v>
      </c>
      <c r="E37" s="5">
        <v>36</v>
      </c>
      <c r="F37" s="5">
        <v>300</v>
      </c>
      <c r="G37" s="5"/>
      <c r="H37" s="16" t="s">
        <v>101</v>
      </c>
    </row>
    <row r="38" spans="1:8" ht="18.75" x14ac:dyDescent="0.3">
      <c r="A38" s="31"/>
      <c r="B38" s="33"/>
      <c r="C38" s="24"/>
      <c r="D38" s="18"/>
      <c r="E38" s="18"/>
      <c r="F38" s="18">
        <v>3300</v>
      </c>
      <c r="G38" s="18">
        <f>F38</f>
        <v>3300</v>
      </c>
      <c r="H38" s="16" t="s">
        <v>102</v>
      </c>
    </row>
    <row r="39" spans="1:8" ht="18.75" x14ac:dyDescent="0.3">
      <c r="A39" s="30">
        <v>8</v>
      </c>
      <c r="B39" s="32" t="s">
        <v>70</v>
      </c>
      <c r="C39" s="23" t="s">
        <v>4</v>
      </c>
      <c r="D39" s="5">
        <v>14</v>
      </c>
      <c r="E39" s="5">
        <v>36</v>
      </c>
      <c r="F39" s="5">
        <v>300</v>
      </c>
      <c r="G39" s="5"/>
      <c r="H39" s="16" t="s">
        <v>101</v>
      </c>
    </row>
    <row r="40" spans="1:8" ht="18.75" x14ac:dyDescent="0.3">
      <c r="A40" s="31"/>
      <c r="B40" s="33"/>
      <c r="C40" s="24"/>
      <c r="D40" s="18"/>
      <c r="E40" s="18"/>
      <c r="F40" s="18">
        <v>3300</v>
      </c>
      <c r="G40" s="18">
        <f>F40</f>
        <v>3300</v>
      </c>
      <c r="H40" s="16" t="s">
        <v>102</v>
      </c>
    </row>
    <row r="41" spans="1:8" ht="18.75" x14ac:dyDescent="0.3">
      <c r="A41" s="30">
        <v>9</v>
      </c>
      <c r="B41" s="32" t="s">
        <v>71</v>
      </c>
      <c r="C41" s="23" t="s">
        <v>4</v>
      </c>
      <c r="D41" s="5">
        <v>14</v>
      </c>
      <c r="E41" s="5">
        <v>36</v>
      </c>
      <c r="F41" s="5">
        <v>300</v>
      </c>
      <c r="G41" s="5"/>
      <c r="H41" s="16" t="s">
        <v>101</v>
      </c>
    </row>
    <row r="42" spans="1:8" ht="18.75" x14ac:dyDescent="0.3">
      <c r="A42" s="31"/>
      <c r="B42" s="33"/>
      <c r="C42" s="24"/>
      <c r="D42" s="18"/>
      <c r="E42" s="18"/>
      <c r="F42" s="18">
        <v>3300</v>
      </c>
      <c r="G42" s="18">
        <f>F42</f>
        <v>3300</v>
      </c>
      <c r="H42" s="16" t="s">
        <v>102</v>
      </c>
    </row>
    <row r="43" spans="1:8" ht="18.75" x14ac:dyDescent="0.3">
      <c r="A43" s="30">
        <v>10</v>
      </c>
      <c r="B43" s="32" t="s">
        <v>72</v>
      </c>
      <c r="C43" s="23" t="s">
        <v>4</v>
      </c>
      <c r="D43" s="5">
        <v>14</v>
      </c>
      <c r="E43" s="5">
        <v>36</v>
      </c>
      <c r="F43" s="5">
        <v>300</v>
      </c>
      <c r="G43" s="5"/>
      <c r="H43" s="16" t="s">
        <v>101</v>
      </c>
    </row>
    <row r="44" spans="1:8" ht="18.75" x14ac:dyDescent="0.3">
      <c r="A44" s="31"/>
      <c r="B44" s="33"/>
      <c r="C44" s="24"/>
      <c r="D44" s="18"/>
      <c r="E44" s="18"/>
      <c r="F44" s="18">
        <v>3300</v>
      </c>
      <c r="G44" s="18">
        <f>F44</f>
        <v>3300</v>
      </c>
      <c r="H44" s="16" t="s">
        <v>102</v>
      </c>
    </row>
    <row r="45" spans="1:8" ht="18.75" x14ac:dyDescent="0.3">
      <c r="A45" s="30">
        <v>11</v>
      </c>
      <c r="B45" s="32" t="s">
        <v>73</v>
      </c>
      <c r="C45" s="23" t="s">
        <v>4</v>
      </c>
      <c r="D45" s="5">
        <v>14</v>
      </c>
      <c r="E45" s="5">
        <v>36</v>
      </c>
      <c r="F45" s="5">
        <v>300</v>
      </c>
      <c r="G45" s="5"/>
      <c r="H45" s="16" t="s">
        <v>101</v>
      </c>
    </row>
    <row r="46" spans="1:8" ht="18.75" x14ac:dyDescent="0.3">
      <c r="A46" s="31"/>
      <c r="B46" s="33"/>
      <c r="C46" s="24"/>
      <c r="D46" s="18"/>
      <c r="E46" s="18"/>
      <c r="F46" s="18">
        <v>3300</v>
      </c>
      <c r="G46" s="18">
        <f>F46</f>
        <v>3300</v>
      </c>
      <c r="H46" s="16" t="s">
        <v>102</v>
      </c>
    </row>
    <row r="47" spans="1:8" ht="18.75" x14ac:dyDescent="0.3">
      <c r="A47" s="15"/>
      <c r="B47" s="16"/>
      <c r="C47" s="19"/>
      <c r="D47" s="18"/>
      <c r="E47" s="18"/>
      <c r="F47" s="18"/>
      <c r="G47" s="18"/>
      <c r="H47" s="16"/>
    </row>
    <row r="48" spans="1:8" ht="18.75" x14ac:dyDescent="0.3">
      <c r="A48" s="15">
        <v>12</v>
      </c>
      <c r="B48" s="16" t="s">
        <v>104</v>
      </c>
      <c r="C48" s="19" t="s">
        <v>4</v>
      </c>
      <c r="D48" s="6">
        <v>16</v>
      </c>
      <c r="E48" s="6">
        <v>64</v>
      </c>
      <c r="F48" s="6">
        <v>400</v>
      </c>
      <c r="G48" s="6"/>
      <c r="H48" s="16" t="s">
        <v>79</v>
      </c>
    </row>
    <row r="49" spans="1:8" ht="18.75" x14ac:dyDescent="0.3">
      <c r="A49" s="15">
        <v>13</v>
      </c>
      <c r="B49" s="16" t="s">
        <v>104</v>
      </c>
      <c r="C49" s="19" t="s">
        <v>4</v>
      </c>
      <c r="D49" s="6">
        <v>16</v>
      </c>
      <c r="E49" s="6">
        <v>64</v>
      </c>
      <c r="F49" s="6">
        <v>400</v>
      </c>
      <c r="G49" s="6"/>
      <c r="H49" s="16" t="s">
        <v>80</v>
      </c>
    </row>
    <row r="50" spans="1:8" ht="18.75" x14ac:dyDescent="0.3">
      <c r="A50" s="15">
        <v>14</v>
      </c>
      <c r="B50" s="16" t="s">
        <v>104</v>
      </c>
      <c r="C50" s="19" t="s">
        <v>4</v>
      </c>
      <c r="D50" s="6">
        <v>16</v>
      </c>
      <c r="E50" s="6">
        <v>64</v>
      </c>
      <c r="F50" s="6">
        <v>400</v>
      </c>
      <c r="G50" s="6"/>
      <c r="H50" s="16" t="s">
        <v>81</v>
      </c>
    </row>
    <row r="51" spans="1:8" ht="18.75" x14ac:dyDescent="0.3">
      <c r="A51" s="15">
        <v>15</v>
      </c>
      <c r="B51" s="16" t="s">
        <v>104</v>
      </c>
      <c r="C51" s="19" t="s">
        <v>4</v>
      </c>
      <c r="D51" s="6">
        <v>16</v>
      </c>
      <c r="E51" s="6">
        <v>64</v>
      </c>
      <c r="F51" s="6">
        <v>400</v>
      </c>
      <c r="G51" s="6"/>
      <c r="H51" s="16" t="s">
        <v>79</v>
      </c>
    </row>
    <row r="52" spans="1:8" ht="18.75" x14ac:dyDescent="0.3">
      <c r="A52" s="15">
        <v>16</v>
      </c>
      <c r="B52" s="16" t="s">
        <v>104</v>
      </c>
      <c r="C52" s="19" t="s">
        <v>4</v>
      </c>
      <c r="D52" s="6">
        <v>16</v>
      </c>
      <c r="E52" s="6">
        <v>64</v>
      </c>
      <c r="F52" s="6">
        <v>400</v>
      </c>
      <c r="G52" s="6"/>
      <c r="H52" s="16" t="s">
        <v>80</v>
      </c>
    </row>
    <row r="53" spans="1:8" ht="18.75" x14ac:dyDescent="0.3">
      <c r="A53" s="15">
        <v>17</v>
      </c>
      <c r="B53" s="16" t="s">
        <v>104</v>
      </c>
      <c r="C53" s="19" t="s">
        <v>4</v>
      </c>
      <c r="D53" s="6">
        <v>16</v>
      </c>
      <c r="E53" s="6">
        <v>64</v>
      </c>
      <c r="F53" s="6">
        <v>400</v>
      </c>
      <c r="G53" s="6"/>
      <c r="H53" s="16" t="s">
        <v>81</v>
      </c>
    </row>
    <row r="54" spans="1:8" ht="18.75" x14ac:dyDescent="0.3">
      <c r="A54" s="15"/>
      <c r="B54" s="16"/>
      <c r="C54" s="19"/>
      <c r="D54" s="18"/>
      <c r="E54" s="18"/>
      <c r="F54" s="18"/>
      <c r="G54" s="18"/>
      <c r="H54" s="22"/>
    </row>
    <row r="55" spans="1:8" ht="18.75" x14ac:dyDescent="0.3">
      <c r="A55" s="15">
        <v>18</v>
      </c>
      <c r="B55" s="16" t="s">
        <v>92</v>
      </c>
      <c r="C55" s="19" t="s">
        <v>4</v>
      </c>
      <c r="D55" s="5">
        <v>12</v>
      </c>
      <c r="E55" s="5">
        <v>24</v>
      </c>
      <c r="F55" s="5">
        <v>500</v>
      </c>
      <c r="G55" s="5"/>
      <c r="H55" s="16" t="s">
        <v>82</v>
      </c>
    </row>
    <row r="56" spans="1:8" ht="18.75" x14ac:dyDescent="0.3">
      <c r="A56" s="15">
        <v>19</v>
      </c>
      <c r="B56" s="16" t="s">
        <v>93</v>
      </c>
      <c r="C56" s="19" t="s">
        <v>4</v>
      </c>
      <c r="D56" s="5">
        <v>12</v>
      </c>
      <c r="E56" s="5">
        <v>24</v>
      </c>
      <c r="F56" s="5">
        <v>500</v>
      </c>
      <c r="G56" s="5"/>
      <c r="H56" s="16" t="s">
        <v>83</v>
      </c>
    </row>
    <row r="57" spans="1:8" ht="18.75" x14ac:dyDescent="0.3">
      <c r="A57" s="15">
        <v>20</v>
      </c>
      <c r="B57" s="16" t="s">
        <v>94</v>
      </c>
      <c r="C57" s="19" t="s">
        <v>4</v>
      </c>
      <c r="D57" s="5">
        <v>12</v>
      </c>
      <c r="E57" s="5">
        <v>24</v>
      </c>
      <c r="F57" s="5">
        <v>500</v>
      </c>
      <c r="G57" s="5"/>
      <c r="H57" s="16" t="s">
        <v>84</v>
      </c>
    </row>
    <row r="58" spans="1:8" ht="18.75" x14ac:dyDescent="0.3">
      <c r="A58" s="15"/>
      <c r="B58" s="16"/>
      <c r="C58" s="19"/>
      <c r="D58" s="18"/>
      <c r="E58" s="18"/>
      <c r="F58" s="18"/>
      <c r="G58" s="18"/>
      <c r="H58" s="16"/>
    </row>
    <row r="59" spans="1:8" ht="18.75" x14ac:dyDescent="0.3">
      <c r="A59" s="15">
        <v>21</v>
      </c>
      <c r="B59" s="16" t="s">
        <v>66</v>
      </c>
      <c r="C59" s="19" t="s">
        <v>4</v>
      </c>
      <c r="D59" s="4">
        <v>12</v>
      </c>
      <c r="E59" s="4">
        <v>24</v>
      </c>
      <c r="F59" s="4">
        <v>800</v>
      </c>
      <c r="G59" s="4"/>
      <c r="H59" s="16" t="s">
        <v>103</v>
      </c>
    </row>
    <row r="60" spans="1:8" ht="18.75" x14ac:dyDescent="0.3">
      <c r="A60" s="25"/>
      <c r="B60" s="25"/>
      <c r="C60" s="25"/>
      <c r="D60" s="25"/>
      <c r="E60" s="25"/>
      <c r="F60" s="25"/>
      <c r="G60" s="25"/>
      <c r="H60" s="25"/>
    </row>
    <row r="61" spans="1:8" ht="18.75" x14ac:dyDescent="0.3">
      <c r="A61" s="15">
        <v>22</v>
      </c>
      <c r="B61" s="16" t="s">
        <v>95</v>
      </c>
      <c r="C61" s="20" t="s">
        <v>5</v>
      </c>
      <c r="D61" s="1">
        <v>8</v>
      </c>
      <c r="E61" s="1">
        <v>32</v>
      </c>
      <c r="F61" s="1">
        <v>3000</v>
      </c>
      <c r="G61" s="18">
        <f>F61</f>
        <v>3000</v>
      </c>
      <c r="H61" s="16" t="s">
        <v>85</v>
      </c>
    </row>
    <row r="62" spans="1:8" ht="18.75" x14ac:dyDescent="0.3">
      <c r="A62" s="15">
        <v>23</v>
      </c>
      <c r="B62" s="16" t="s">
        <v>96</v>
      </c>
      <c r="C62" s="20" t="s">
        <v>5</v>
      </c>
      <c r="D62" s="1">
        <v>8</v>
      </c>
      <c r="E62" s="1">
        <v>32</v>
      </c>
      <c r="F62" s="1">
        <v>3000</v>
      </c>
      <c r="G62" s="18">
        <f>F62</f>
        <v>3000</v>
      </c>
      <c r="H62" s="16" t="s">
        <v>86</v>
      </c>
    </row>
    <row r="63" spans="1:8" ht="18.75" x14ac:dyDescent="0.3">
      <c r="A63" s="15">
        <v>24</v>
      </c>
      <c r="B63" s="16" t="s">
        <v>97</v>
      </c>
      <c r="C63" s="20" t="s">
        <v>5</v>
      </c>
      <c r="D63" s="1">
        <v>8</v>
      </c>
      <c r="E63" s="1">
        <v>32</v>
      </c>
      <c r="F63" s="1">
        <v>3000</v>
      </c>
      <c r="G63" s="18">
        <f>F63</f>
        <v>3000</v>
      </c>
      <c r="H63" s="16" t="s">
        <v>87</v>
      </c>
    </row>
    <row r="64" spans="1:8" ht="18.75" x14ac:dyDescent="0.3">
      <c r="A64" s="15"/>
      <c r="B64" s="16"/>
      <c r="C64" s="20"/>
      <c r="D64" s="18"/>
      <c r="E64" s="18"/>
      <c r="F64" s="18"/>
      <c r="G64" s="18"/>
      <c r="H64" s="16"/>
    </row>
    <row r="65" spans="1:8" ht="18.75" x14ac:dyDescent="0.3">
      <c r="A65" s="15">
        <v>25</v>
      </c>
      <c r="B65" s="16" t="s">
        <v>98</v>
      </c>
      <c r="C65" s="20" t="s">
        <v>5</v>
      </c>
      <c r="D65" s="4">
        <v>9</v>
      </c>
      <c r="E65" s="4">
        <v>36</v>
      </c>
      <c r="F65" s="4">
        <v>2500</v>
      </c>
      <c r="G65" s="18">
        <f>F65</f>
        <v>2500</v>
      </c>
      <c r="H65" s="16" t="s">
        <v>88</v>
      </c>
    </row>
    <row r="66" spans="1:8" ht="18.75" x14ac:dyDescent="0.3">
      <c r="A66" s="15">
        <v>26</v>
      </c>
      <c r="B66" s="16" t="s">
        <v>99</v>
      </c>
      <c r="C66" s="20" t="s">
        <v>5</v>
      </c>
      <c r="D66" s="4">
        <v>9</v>
      </c>
      <c r="E66" s="4">
        <v>36</v>
      </c>
      <c r="F66" s="4">
        <v>2500</v>
      </c>
      <c r="G66" s="4"/>
      <c r="H66" s="16" t="s">
        <v>89</v>
      </c>
    </row>
    <row r="67" spans="1:8" ht="18.75" x14ac:dyDescent="0.3">
      <c r="A67" s="15">
        <v>27</v>
      </c>
      <c r="B67" s="16" t="s">
        <v>100</v>
      </c>
      <c r="C67" s="20" t="s">
        <v>5</v>
      </c>
      <c r="D67" s="4">
        <v>9</v>
      </c>
      <c r="E67" s="4">
        <v>36</v>
      </c>
      <c r="F67" s="4">
        <v>2500</v>
      </c>
      <c r="G67" s="4"/>
      <c r="H67" s="16" t="s">
        <v>90</v>
      </c>
    </row>
    <row r="68" spans="1:8" ht="18.75" x14ac:dyDescent="0.3">
      <c r="A68" s="25"/>
      <c r="B68" s="25"/>
      <c r="C68" s="25"/>
      <c r="D68" s="25"/>
      <c r="E68" s="25"/>
      <c r="F68" s="25"/>
      <c r="G68" s="25"/>
      <c r="H68" s="25"/>
    </row>
    <row r="69" spans="1:8" ht="18.75" x14ac:dyDescent="0.3">
      <c r="A69" s="34" t="s">
        <v>91</v>
      </c>
      <c r="B69" s="34"/>
      <c r="C69" s="34"/>
      <c r="D69" s="21">
        <f>SUM(D29:D68)</f>
        <v>311</v>
      </c>
      <c r="E69" s="21">
        <f>SUM(E29:E68)</f>
        <v>964</v>
      </c>
      <c r="F69" s="21">
        <f>SUM(F29:F67)</f>
        <v>43600</v>
      </c>
      <c r="G69" s="21">
        <f>SUM(G29:G67)</f>
        <v>31500</v>
      </c>
      <c r="H69" s="16"/>
    </row>
  </sheetData>
  <mergeCells count="19">
    <mergeCell ref="E8:E9"/>
    <mergeCell ref="D10:E10"/>
    <mergeCell ref="A45:A46"/>
    <mergeCell ref="A8:A9"/>
    <mergeCell ref="B8:B9"/>
    <mergeCell ref="C8:C9"/>
    <mergeCell ref="D8:D9"/>
    <mergeCell ref="B35:B36"/>
    <mergeCell ref="A35:A36"/>
    <mergeCell ref="A69:C69"/>
    <mergeCell ref="B37:B38"/>
    <mergeCell ref="B39:B40"/>
    <mergeCell ref="B41:B42"/>
    <mergeCell ref="B43:B44"/>
    <mergeCell ref="B45:B46"/>
    <mergeCell ref="A37:A38"/>
    <mergeCell ref="A39:A40"/>
    <mergeCell ref="A41:A42"/>
    <mergeCell ref="A43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62C0-3229-4B60-81CF-92033A4592B1}">
  <dimension ref="A1:H69"/>
  <sheetViews>
    <sheetView workbookViewId="0">
      <selection activeCell="G36" sqref="G36"/>
    </sheetView>
  </sheetViews>
  <sheetFormatPr defaultRowHeight="15" x14ac:dyDescent="0.25"/>
  <cols>
    <col min="2" max="2" width="28.140625" customWidth="1"/>
    <col min="7" max="7" width="11.28515625" customWidth="1"/>
    <col min="8" max="8" width="109.140625" customWidth="1"/>
  </cols>
  <sheetData>
    <row r="1" spans="1:5" s="3" customFormat="1" ht="18.75" x14ac:dyDescent="0.3">
      <c r="A1" s="2" t="s">
        <v>58</v>
      </c>
    </row>
    <row r="2" spans="1:5" s="3" customFormat="1" ht="18.75" x14ac:dyDescent="0.3">
      <c r="A2" s="26" t="s">
        <v>105</v>
      </c>
    </row>
    <row r="3" spans="1:5" s="3" customFormat="1" ht="18.75" x14ac:dyDescent="0.3">
      <c r="A3" s="2"/>
      <c r="B3" s="3" t="s">
        <v>113</v>
      </c>
    </row>
    <row r="4" spans="1:5" s="3" customFormat="1" ht="18.75" x14ac:dyDescent="0.3">
      <c r="A4" s="2"/>
      <c r="B4" s="3" t="s">
        <v>106</v>
      </c>
    </row>
    <row r="5" spans="1:5" s="3" customFormat="1" ht="18.75" x14ac:dyDescent="0.3">
      <c r="A5" s="2"/>
      <c r="B5" s="3" t="s">
        <v>107</v>
      </c>
    </row>
    <row r="6" spans="1:5" s="3" customFormat="1" ht="18.75" x14ac:dyDescent="0.3">
      <c r="A6" s="2"/>
      <c r="B6" s="3" t="s">
        <v>108</v>
      </c>
    </row>
    <row r="7" spans="1:5" s="3" customFormat="1" ht="18.75" x14ac:dyDescent="0.3"/>
    <row r="8" spans="1:5" s="3" customFormat="1" ht="33" customHeight="1" x14ac:dyDescent="0.3">
      <c r="A8" s="28" t="s">
        <v>6</v>
      </c>
      <c r="B8" s="28" t="s">
        <v>7</v>
      </c>
      <c r="C8" s="29" t="s">
        <v>8</v>
      </c>
      <c r="D8" s="28" t="s">
        <v>9</v>
      </c>
      <c r="E8" s="28" t="s">
        <v>2</v>
      </c>
    </row>
    <row r="9" spans="1:5" s="3" customFormat="1" ht="18.75" x14ac:dyDescent="0.3">
      <c r="A9" s="28"/>
      <c r="B9" s="28"/>
      <c r="C9" s="29"/>
      <c r="D9" s="28"/>
      <c r="E9" s="28"/>
    </row>
    <row r="10" spans="1:5" s="3" customFormat="1" ht="18.75" x14ac:dyDescent="0.3">
      <c r="A10" s="7" t="s">
        <v>10</v>
      </c>
      <c r="B10" s="7" t="s">
        <v>11</v>
      </c>
      <c r="C10" s="8"/>
      <c r="D10" s="28" t="s">
        <v>12</v>
      </c>
      <c r="E10" s="28"/>
    </row>
    <row r="11" spans="1:5" s="3" customFormat="1" ht="18.75" x14ac:dyDescent="0.3">
      <c r="A11" s="8">
        <v>1.1000000000000001</v>
      </c>
      <c r="B11" s="8" t="s">
        <v>13</v>
      </c>
      <c r="C11" s="8">
        <f>D69</f>
        <v>311</v>
      </c>
      <c r="D11" s="8" t="s">
        <v>14</v>
      </c>
      <c r="E11" s="8" t="s">
        <v>15</v>
      </c>
    </row>
    <row r="12" spans="1:5" s="3" customFormat="1" ht="18.75" x14ac:dyDescent="0.3">
      <c r="A12" s="8">
        <v>1.2</v>
      </c>
      <c r="B12" s="8" t="s">
        <v>16</v>
      </c>
      <c r="C12" s="8">
        <f>E69</f>
        <v>964</v>
      </c>
      <c r="D12" s="8" t="s">
        <v>17</v>
      </c>
      <c r="E12" s="8" t="s">
        <v>15</v>
      </c>
    </row>
    <row r="13" spans="1:5" s="3" customFormat="1" ht="18.75" x14ac:dyDescent="0.3">
      <c r="A13" s="8">
        <v>1.3</v>
      </c>
      <c r="B13" s="8" t="s">
        <v>109</v>
      </c>
      <c r="C13" s="8">
        <f>F69</f>
        <v>27100</v>
      </c>
      <c r="D13" s="8" t="s">
        <v>17</v>
      </c>
      <c r="E13" s="8" t="s">
        <v>15</v>
      </c>
    </row>
    <row r="14" spans="1:5" s="3" customFormat="1" ht="18.75" x14ac:dyDescent="0.3">
      <c r="A14" s="8">
        <v>1.4</v>
      </c>
      <c r="B14" s="8" t="s">
        <v>18</v>
      </c>
      <c r="C14" s="8">
        <v>3</v>
      </c>
      <c r="D14" s="8" t="s">
        <v>19</v>
      </c>
      <c r="E14" s="8" t="s">
        <v>15</v>
      </c>
    </row>
    <row r="15" spans="1:5" s="3" customFormat="1" ht="18.75" x14ac:dyDescent="0.3">
      <c r="A15" s="8">
        <v>1.5</v>
      </c>
      <c r="B15" s="8" t="s">
        <v>20</v>
      </c>
      <c r="C15" s="8"/>
      <c r="D15" s="8"/>
      <c r="E15" s="8"/>
    </row>
    <row r="16" spans="1:5" s="3" customFormat="1" ht="18.75" x14ac:dyDescent="0.3">
      <c r="A16" s="8">
        <v>1.6</v>
      </c>
      <c r="B16" s="8" t="s">
        <v>21</v>
      </c>
      <c r="C16" s="8">
        <f>COUNT(A29:A67)</f>
        <v>27</v>
      </c>
      <c r="D16" s="8" t="s">
        <v>22</v>
      </c>
      <c r="E16" s="8"/>
    </row>
    <row r="17" spans="1:8" s="3" customFormat="1" ht="18.75" x14ac:dyDescent="0.3">
      <c r="A17" s="7" t="s">
        <v>34</v>
      </c>
      <c r="B17" s="7" t="s">
        <v>24</v>
      </c>
      <c r="C17" s="8"/>
      <c r="D17" s="8"/>
      <c r="E17" s="7" t="s">
        <v>12</v>
      </c>
    </row>
    <row r="18" spans="1:8" s="3" customFormat="1" ht="18.75" x14ac:dyDescent="0.3">
      <c r="A18" s="8">
        <v>2.1</v>
      </c>
      <c r="B18" s="8" t="s">
        <v>25</v>
      </c>
      <c r="C18" s="8">
        <v>2</v>
      </c>
      <c r="D18" s="8" t="s">
        <v>26</v>
      </c>
      <c r="E18" s="8" t="s">
        <v>15</v>
      </c>
    </row>
    <row r="19" spans="1:8" s="3" customFormat="1" ht="18.75" x14ac:dyDescent="0.3">
      <c r="A19" s="7" t="s">
        <v>27</v>
      </c>
      <c r="B19" s="7" t="s">
        <v>28</v>
      </c>
      <c r="C19" s="8"/>
      <c r="D19" s="8"/>
      <c r="E19" s="7" t="s">
        <v>12</v>
      </c>
    </row>
    <row r="20" spans="1:8" s="3" customFormat="1" ht="18.75" x14ac:dyDescent="0.3">
      <c r="A20" s="8">
        <v>4.0999999999999996</v>
      </c>
      <c r="B20" s="8" t="s">
        <v>29</v>
      </c>
      <c r="C20" s="8">
        <f>G69</f>
        <v>17200</v>
      </c>
      <c r="D20" s="8" t="s">
        <v>17</v>
      </c>
      <c r="E20" s="8"/>
    </row>
    <row r="21" spans="1:8" s="3" customFormat="1" ht="18.75" x14ac:dyDescent="0.3">
      <c r="A21" s="7" t="s">
        <v>33</v>
      </c>
      <c r="B21" s="7" t="s">
        <v>30</v>
      </c>
      <c r="C21" s="8"/>
      <c r="D21" s="8" t="s">
        <v>12</v>
      </c>
      <c r="E21" s="7"/>
    </row>
    <row r="22" spans="1:8" s="3" customFormat="1" ht="18.75" x14ac:dyDescent="0.3">
      <c r="A22" s="8" t="s">
        <v>15</v>
      </c>
      <c r="B22" s="8" t="s">
        <v>31</v>
      </c>
      <c r="C22" s="8">
        <v>2</v>
      </c>
      <c r="D22" s="8" t="s">
        <v>23</v>
      </c>
      <c r="E22" s="8" t="s">
        <v>15</v>
      </c>
    </row>
    <row r="23" spans="1:8" s="3" customFormat="1" ht="18.75" x14ac:dyDescent="0.3">
      <c r="A23" s="8">
        <v>5.0999999999999996</v>
      </c>
      <c r="B23" s="8" t="s">
        <v>55</v>
      </c>
      <c r="C23" s="8">
        <v>2</v>
      </c>
      <c r="D23" s="8" t="s">
        <v>32</v>
      </c>
      <c r="E23" s="8"/>
    </row>
    <row r="24" spans="1:8" s="3" customFormat="1" ht="33" x14ac:dyDescent="0.3">
      <c r="A24" s="8">
        <v>5.2</v>
      </c>
      <c r="B24" s="8" t="s">
        <v>56</v>
      </c>
      <c r="C24" s="8">
        <v>2</v>
      </c>
      <c r="D24" s="8" t="s">
        <v>23</v>
      </c>
      <c r="E24" s="8"/>
    </row>
    <row r="25" spans="1:8" ht="23.25" x14ac:dyDescent="0.35">
      <c r="A25" s="13" t="s">
        <v>67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2"/>
      <c r="B27" s="12"/>
      <c r="C27" s="12"/>
      <c r="D27" s="12"/>
      <c r="E27" s="12"/>
      <c r="F27" s="12"/>
      <c r="G27" s="12"/>
      <c r="H27" s="12"/>
    </row>
    <row r="28" spans="1:8" ht="18.75" x14ac:dyDescent="0.25">
      <c r="A28" s="14" t="s">
        <v>59</v>
      </c>
      <c r="B28" s="14" t="s">
        <v>0</v>
      </c>
      <c r="C28" s="14" t="s">
        <v>1</v>
      </c>
      <c r="D28" s="14" t="s">
        <v>14</v>
      </c>
      <c r="E28" s="14" t="s">
        <v>16</v>
      </c>
      <c r="F28" s="14" t="s">
        <v>60</v>
      </c>
      <c r="G28" s="14" t="s">
        <v>110</v>
      </c>
      <c r="H28" s="14" t="s">
        <v>2</v>
      </c>
    </row>
    <row r="29" spans="1:8" ht="18.75" x14ac:dyDescent="0.3">
      <c r="A29" s="15">
        <v>1</v>
      </c>
      <c r="B29" s="16" t="s">
        <v>61</v>
      </c>
      <c r="C29" s="17" t="s">
        <v>3</v>
      </c>
      <c r="D29" s="18">
        <v>4</v>
      </c>
      <c r="E29" s="18">
        <v>8</v>
      </c>
      <c r="F29" s="18">
        <v>100</v>
      </c>
      <c r="G29" s="18"/>
      <c r="H29" s="16" t="s">
        <v>74</v>
      </c>
    </row>
    <row r="30" spans="1:8" ht="18.75" x14ac:dyDescent="0.3">
      <c r="A30" s="15">
        <v>2</v>
      </c>
      <c r="B30" s="16" t="s">
        <v>62</v>
      </c>
      <c r="C30" s="17" t="s">
        <v>3</v>
      </c>
      <c r="D30" s="18">
        <v>4</v>
      </c>
      <c r="E30" s="18">
        <v>8</v>
      </c>
      <c r="F30" s="18">
        <v>100</v>
      </c>
      <c r="G30" s="18"/>
      <c r="H30" s="16" t="s">
        <v>75</v>
      </c>
    </row>
    <row r="31" spans="1:8" ht="18.75" x14ac:dyDescent="0.3">
      <c r="A31" s="25"/>
      <c r="B31" s="25"/>
      <c r="C31" s="25"/>
      <c r="D31" s="25"/>
      <c r="E31" s="25"/>
      <c r="F31" s="25"/>
      <c r="G31" s="25"/>
      <c r="H31" s="25"/>
    </row>
    <row r="32" spans="1:8" ht="18.75" x14ac:dyDescent="0.3">
      <c r="A32" s="15">
        <v>3</v>
      </c>
      <c r="B32" s="16" t="s">
        <v>63</v>
      </c>
      <c r="C32" s="19" t="s">
        <v>4</v>
      </c>
      <c r="D32" s="18">
        <v>8</v>
      </c>
      <c r="E32" s="18">
        <v>16</v>
      </c>
      <c r="F32" s="18">
        <v>200</v>
      </c>
      <c r="G32" s="18">
        <f>F32</f>
        <v>200</v>
      </c>
      <c r="H32" s="16" t="s">
        <v>76</v>
      </c>
    </row>
    <row r="33" spans="1:8" ht="18.75" x14ac:dyDescent="0.3">
      <c r="A33" s="15">
        <v>4</v>
      </c>
      <c r="B33" s="16" t="s">
        <v>64</v>
      </c>
      <c r="C33" s="19" t="s">
        <v>4</v>
      </c>
      <c r="D33" s="18">
        <v>8</v>
      </c>
      <c r="E33" s="18">
        <v>16</v>
      </c>
      <c r="F33" s="18">
        <v>200</v>
      </c>
      <c r="G33" s="18"/>
      <c r="H33" s="16" t="s">
        <v>77</v>
      </c>
    </row>
    <row r="34" spans="1:8" ht="18.75" x14ac:dyDescent="0.3">
      <c r="A34" s="15">
        <v>5</v>
      </c>
      <c r="B34" s="16" t="s">
        <v>65</v>
      </c>
      <c r="C34" s="19" t="s">
        <v>4</v>
      </c>
      <c r="D34" s="18">
        <v>8</v>
      </c>
      <c r="E34" s="18">
        <v>16</v>
      </c>
      <c r="F34" s="18">
        <v>200</v>
      </c>
      <c r="G34" s="18"/>
      <c r="H34" s="16" t="s">
        <v>78</v>
      </c>
    </row>
    <row r="35" spans="1:8" ht="18.75" x14ac:dyDescent="0.3">
      <c r="A35" s="30">
        <v>6</v>
      </c>
      <c r="B35" s="32" t="s">
        <v>68</v>
      </c>
      <c r="C35" s="23" t="s">
        <v>4</v>
      </c>
      <c r="D35" s="5">
        <v>14</v>
      </c>
      <c r="E35" s="5">
        <v>36</v>
      </c>
      <c r="F35" s="5">
        <v>300</v>
      </c>
      <c r="G35" s="5"/>
      <c r="H35" s="16" t="s">
        <v>101</v>
      </c>
    </row>
    <row r="36" spans="1:8" ht="18.75" x14ac:dyDescent="0.3">
      <c r="A36" s="31"/>
      <c r="B36" s="33"/>
      <c r="C36" s="24"/>
      <c r="D36" s="18"/>
      <c r="E36" s="18"/>
      <c r="F36" s="18">
        <v>1800</v>
      </c>
      <c r="G36" s="18">
        <f>F36</f>
        <v>1800</v>
      </c>
      <c r="H36" s="16" t="s">
        <v>102</v>
      </c>
    </row>
    <row r="37" spans="1:8" ht="18.75" customHeight="1" x14ac:dyDescent="0.3">
      <c r="A37" s="30">
        <v>7</v>
      </c>
      <c r="B37" s="32" t="s">
        <v>69</v>
      </c>
      <c r="C37" s="23" t="s">
        <v>4</v>
      </c>
      <c r="D37" s="5">
        <v>14</v>
      </c>
      <c r="E37" s="5">
        <v>36</v>
      </c>
      <c r="F37" s="5">
        <v>300</v>
      </c>
      <c r="G37" s="5"/>
      <c r="H37" s="16" t="s">
        <v>101</v>
      </c>
    </row>
    <row r="38" spans="1:8" ht="18.75" x14ac:dyDescent="0.3">
      <c r="A38" s="31"/>
      <c r="B38" s="33"/>
      <c r="C38" s="24"/>
      <c r="D38" s="18"/>
      <c r="E38" s="18"/>
      <c r="F38" s="18">
        <v>1800</v>
      </c>
      <c r="G38" s="18">
        <f>F38</f>
        <v>1800</v>
      </c>
      <c r="H38" s="16" t="s">
        <v>102</v>
      </c>
    </row>
    <row r="39" spans="1:8" ht="18.75" x14ac:dyDescent="0.3">
      <c r="A39" s="30">
        <v>8</v>
      </c>
      <c r="B39" s="32" t="s">
        <v>70</v>
      </c>
      <c r="C39" s="23" t="s">
        <v>4</v>
      </c>
      <c r="D39" s="5">
        <v>14</v>
      </c>
      <c r="E39" s="5">
        <v>36</v>
      </c>
      <c r="F39" s="5">
        <v>300</v>
      </c>
      <c r="G39" s="5"/>
      <c r="H39" s="16" t="s">
        <v>101</v>
      </c>
    </row>
    <row r="40" spans="1:8" ht="18.75" x14ac:dyDescent="0.3">
      <c r="A40" s="31"/>
      <c r="B40" s="33"/>
      <c r="C40" s="24"/>
      <c r="D40" s="18"/>
      <c r="E40" s="18"/>
      <c r="F40" s="18">
        <v>1800</v>
      </c>
      <c r="G40" s="18">
        <f>F40</f>
        <v>1800</v>
      </c>
      <c r="H40" s="16" t="s">
        <v>102</v>
      </c>
    </row>
    <row r="41" spans="1:8" ht="18.75" x14ac:dyDescent="0.3">
      <c r="A41" s="30">
        <v>9</v>
      </c>
      <c r="B41" s="32" t="s">
        <v>71</v>
      </c>
      <c r="C41" s="23" t="s">
        <v>4</v>
      </c>
      <c r="D41" s="5">
        <v>14</v>
      </c>
      <c r="E41" s="5">
        <v>36</v>
      </c>
      <c r="F41" s="5">
        <v>300</v>
      </c>
      <c r="G41" s="5"/>
      <c r="H41" s="16" t="s">
        <v>101</v>
      </c>
    </row>
    <row r="42" spans="1:8" ht="18.75" x14ac:dyDescent="0.3">
      <c r="A42" s="31"/>
      <c r="B42" s="33"/>
      <c r="C42" s="24"/>
      <c r="D42" s="18"/>
      <c r="E42" s="18"/>
      <c r="F42" s="18">
        <v>1800</v>
      </c>
      <c r="G42" s="18">
        <f>F42</f>
        <v>1800</v>
      </c>
      <c r="H42" s="16" t="s">
        <v>102</v>
      </c>
    </row>
    <row r="43" spans="1:8" ht="18.75" x14ac:dyDescent="0.3">
      <c r="A43" s="30">
        <v>10</v>
      </c>
      <c r="B43" s="32" t="s">
        <v>72</v>
      </c>
      <c r="C43" s="23" t="s">
        <v>4</v>
      </c>
      <c r="D43" s="5">
        <v>14</v>
      </c>
      <c r="E43" s="5">
        <v>36</v>
      </c>
      <c r="F43" s="5">
        <v>300</v>
      </c>
      <c r="G43" s="5"/>
      <c r="H43" s="16" t="s">
        <v>101</v>
      </c>
    </row>
    <row r="44" spans="1:8" ht="18.75" x14ac:dyDescent="0.3">
      <c r="A44" s="31"/>
      <c r="B44" s="33"/>
      <c r="C44" s="24"/>
      <c r="D44" s="18"/>
      <c r="E44" s="18"/>
      <c r="F44" s="18">
        <v>1800</v>
      </c>
      <c r="G44" s="18">
        <f>F44</f>
        <v>1800</v>
      </c>
      <c r="H44" s="16" t="s">
        <v>102</v>
      </c>
    </row>
    <row r="45" spans="1:8" ht="18.75" x14ac:dyDescent="0.3">
      <c r="A45" s="30">
        <v>11</v>
      </c>
      <c r="B45" s="32" t="s">
        <v>73</v>
      </c>
      <c r="C45" s="23" t="s">
        <v>4</v>
      </c>
      <c r="D45" s="5">
        <v>14</v>
      </c>
      <c r="E45" s="5">
        <v>36</v>
      </c>
      <c r="F45" s="5">
        <v>300</v>
      </c>
      <c r="G45" s="5"/>
      <c r="H45" s="16" t="s">
        <v>101</v>
      </c>
    </row>
    <row r="46" spans="1:8" ht="18.75" x14ac:dyDescent="0.3">
      <c r="A46" s="31"/>
      <c r="B46" s="33"/>
      <c r="C46" s="24"/>
      <c r="D46" s="18"/>
      <c r="E46" s="18"/>
      <c r="F46" s="18">
        <v>1800</v>
      </c>
      <c r="G46" s="18">
        <f>F46</f>
        <v>1800</v>
      </c>
      <c r="H46" s="16" t="s">
        <v>102</v>
      </c>
    </row>
    <row r="47" spans="1:8" ht="18.75" x14ac:dyDescent="0.3">
      <c r="A47" s="15"/>
      <c r="B47" s="16"/>
      <c r="C47" s="19"/>
      <c r="D47" s="18"/>
      <c r="E47" s="18"/>
      <c r="F47" s="18"/>
      <c r="G47" s="18"/>
      <c r="H47" s="16"/>
    </row>
    <row r="48" spans="1:8" ht="18.75" x14ac:dyDescent="0.3">
      <c r="A48" s="15">
        <v>12</v>
      </c>
      <c r="B48" s="16" t="s">
        <v>104</v>
      </c>
      <c r="C48" s="19" t="s">
        <v>4</v>
      </c>
      <c r="D48" s="6">
        <v>16</v>
      </c>
      <c r="E48" s="6">
        <v>64</v>
      </c>
      <c r="F48" s="6">
        <v>400</v>
      </c>
      <c r="G48" s="6"/>
      <c r="H48" s="16" t="s">
        <v>79</v>
      </c>
    </row>
    <row r="49" spans="1:8" ht="18.75" x14ac:dyDescent="0.3">
      <c r="A49" s="15">
        <v>13</v>
      </c>
      <c r="B49" s="16" t="s">
        <v>104</v>
      </c>
      <c r="C49" s="19" t="s">
        <v>4</v>
      </c>
      <c r="D49" s="6">
        <v>16</v>
      </c>
      <c r="E49" s="6">
        <v>64</v>
      </c>
      <c r="F49" s="6">
        <v>400</v>
      </c>
      <c r="G49" s="6"/>
      <c r="H49" s="16" t="s">
        <v>80</v>
      </c>
    </row>
    <row r="50" spans="1:8" ht="18.75" x14ac:dyDescent="0.3">
      <c r="A50" s="15">
        <v>14</v>
      </c>
      <c r="B50" s="16" t="s">
        <v>104</v>
      </c>
      <c r="C50" s="19" t="s">
        <v>4</v>
      </c>
      <c r="D50" s="6">
        <v>16</v>
      </c>
      <c r="E50" s="6">
        <v>64</v>
      </c>
      <c r="F50" s="6">
        <v>400</v>
      </c>
      <c r="G50" s="6"/>
      <c r="H50" s="16" t="s">
        <v>81</v>
      </c>
    </row>
    <row r="51" spans="1:8" ht="18.75" x14ac:dyDescent="0.3">
      <c r="A51" s="15">
        <v>15</v>
      </c>
      <c r="B51" s="16" t="s">
        <v>104</v>
      </c>
      <c r="C51" s="19" t="s">
        <v>4</v>
      </c>
      <c r="D51" s="6">
        <v>16</v>
      </c>
      <c r="E51" s="6">
        <v>64</v>
      </c>
      <c r="F51" s="6">
        <v>400</v>
      </c>
      <c r="G51" s="6"/>
      <c r="H51" s="16" t="s">
        <v>79</v>
      </c>
    </row>
    <row r="52" spans="1:8" ht="18.75" x14ac:dyDescent="0.3">
      <c r="A52" s="15">
        <v>16</v>
      </c>
      <c r="B52" s="16" t="s">
        <v>104</v>
      </c>
      <c r="C52" s="19" t="s">
        <v>4</v>
      </c>
      <c r="D52" s="6">
        <v>16</v>
      </c>
      <c r="E52" s="6">
        <v>64</v>
      </c>
      <c r="F52" s="6">
        <v>400</v>
      </c>
      <c r="G52" s="6"/>
      <c r="H52" s="16" t="s">
        <v>80</v>
      </c>
    </row>
    <row r="53" spans="1:8" ht="18.75" x14ac:dyDescent="0.3">
      <c r="A53" s="15">
        <v>17</v>
      </c>
      <c r="B53" s="16" t="s">
        <v>104</v>
      </c>
      <c r="C53" s="19" t="s">
        <v>4</v>
      </c>
      <c r="D53" s="6">
        <v>16</v>
      </c>
      <c r="E53" s="6">
        <v>64</v>
      </c>
      <c r="F53" s="6">
        <v>400</v>
      </c>
      <c r="G53" s="6"/>
      <c r="H53" s="16" t="s">
        <v>81</v>
      </c>
    </row>
    <row r="54" spans="1:8" ht="18.75" x14ac:dyDescent="0.3">
      <c r="A54" s="15"/>
      <c r="B54" s="16"/>
      <c r="C54" s="19"/>
      <c r="D54" s="18"/>
      <c r="E54" s="18"/>
      <c r="F54" s="18"/>
      <c r="G54" s="18"/>
      <c r="H54" s="22"/>
    </row>
    <row r="55" spans="1:8" ht="18.75" x14ac:dyDescent="0.3">
      <c r="A55" s="15">
        <v>18</v>
      </c>
      <c r="B55" s="16" t="s">
        <v>92</v>
      </c>
      <c r="C55" s="19" t="s">
        <v>4</v>
      </c>
      <c r="D55" s="5">
        <v>12</v>
      </c>
      <c r="E55" s="5">
        <v>24</v>
      </c>
      <c r="F55" s="5">
        <v>500</v>
      </c>
      <c r="G55" s="5"/>
      <c r="H55" s="16" t="s">
        <v>82</v>
      </c>
    </row>
    <row r="56" spans="1:8" ht="18.75" x14ac:dyDescent="0.3">
      <c r="A56" s="15">
        <v>19</v>
      </c>
      <c r="B56" s="16" t="s">
        <v>93</v>
      </c>
      <c r="C56" s="19" t="s">
        <v>4</v>
      </c>
      <c r="D56" s="5">
        <v>12</v>
      </c>
      <c r="E56" s="5">
        <v>24</v>
      </c>
      <c r="F56" s="5">
        <v>500</v>
      </c>
      <c r="G56" s="5"/>
      <c r="H56" s="16" t="s">
        <v>83</v>
      </c>
    </row>
    <row r="57" spans="1:8" ht="18.75" x14ac:dyDescent="0.3">
      <c r="A57" s="15">
        <v>20</v>
      </c>
      <c r="B57" s="16" t="s">
        <v>94</v>
      </c>
      <c r="C57" s="19" t="s">
        <v>4</v>
      </c>
      <c r="D57" s="5">
        <v>12</v>
      </c>
      <c r="E57" s="5">
        <v>24</v>
      </c>
      <c r="F57" s="5">
        <v>500</v>
      </c>
      <c r="G57" s="5"/>
      <c r="H57" s="16" t="s">
        <v>84</v>
      </c>
    </row>
    <row r="58" spans="1:8" ht="18.75" x14ac:dyDescent="0.3">
      <c r="A58" s="15"/>
      <c r="B58" s="16"/>
      <c r="C58" s="19"/>
      <c r="D58" s="18"/>
      <c r="E58" s="18"/>
      <c r="F58" s="18"/>
      <c r="G58" s="18"/>
      <c r="H58" s="16"/>
    </row>
    <row r="59" spans="1:8" ht="18.75" x14ac:dyDescent="0.3">
      <c r="A59" s="15">
        <v>21</v>
      </c>
      <c r="B59" s="16" t="s">
        <v>66</v>
      </c>
      <c r="C59" s="19" t="s">
        <v>4</v>
      </c>
      <c r="D59" s="4">
        <v>12</v>
      </c>
      <c r="E59" s="4">
        <v>24</v>
      </c>
      <c r="F59" s="4">
        <v>800</v>
      </c>
      <c r="G59" s="4"/>
      <c r="H59" s="16" t="s">
        <v>103</v>
      </c>
    </row>
    <row r="60" spans="1:8" ht="18.75" x14ac:dyDescent="0.3">
      <c r="A60" s="25"/>
      <c r="B60" s="25"/>
      <c r="C60" s="25"/>
      <c r="D60" s="25"/>
      <c r="E60" s="25"/>
      <c r="F60" s="25"/>
      <c r="G60" s="25"/>
      <c r="H60" s="25"/>
    </row>
    <row r="61" spans="1:8" ht="18.75" x14ac:dyDescent="0.3">
      <c r="A61" s="15">
        <v>22</v>
      </c>
      <c r="B61" s="16" t="s">
        <v>95</v>
      </c>
      <c r="C61" s="20" t="s">
        <v>5</v>
      </c>
      <c r="D61" s="1">
        <v>8</v>
      </c>
      <c r="E61" s="1">
        <v>32</v>
      </c>
      <c r="F61" s="1">
        <v>1600</v>
      </c>
      <c r="G61" s="18">
        <f>F61</f>
        <v>1600</v>
      </c>
      <c r="H61" s="16" t="s">
        <v>85</v>
      </c>
    </row>
    <row r="62" spans="1:8" ht="18.75" x14ac:dyDescent="0.3">
      <c r="A62" s="15">
        <v>23</v>
      </c>
      <c r="B62" s="16" t="s">
        <v>96</v>
      </c>
      <c r="C62" s="20" t="s">
        <v>5</v>
      </c>
      <c r="D62" s="1">
        <v>8</v>
      </c>
      <c r="E62" s="1">
        <v>32</v>
      </c>
      <c r="F62" s="1">
        <v>1600</v>
      </c>
      <c r="G62" s="18">
        <f>F62</f>
        <v>1600</v>
      </c>
      <c r="H62" s="16" t="s">
        <v>86</v>
      </c>
    </row>
    <row r="63" spans="1:8" ht="18.75" x14ac:dyDescent="0.3">
      <c r="A63" s="15">
        <v>24</v>
      </c>
      <c r="B63" s="16" t="s">
        <v>97</v>
      </c>
      <c r="C63" s="20" t="s">
        <v>5</v>
      </c>
      <c r="D63" s="1">
        <v>8</v>
      </c>
      <c r="E63" s="1">
        <v>32</v>
      </c>
      <c r="F63" s="1">
        <v>1600</v>
      </c>
      <c r="G63" s="18">
        <f>F63</f>
        <v>1600</v>
      </c>
      <c r="H63" s="16" t="s">
        <v>87</v>
      </c>
    </row>
    <row r="64" spans="1:8" ht="18.75" x14ac:dyDescent="0.3">
      <c r="A64" s="15"/>
      <c r="B64" s="16"/>
      <c r="C64" s="20"/>
      <c r="D64" s="18"/>
      <c r="E64" s="18"/>
      <c r="F64" s="18"/>
      <c r="G64" s="18"/>
      <c r="H64" s="16"/>
    </row>
    <row r="65" spans="1:8" ht="18.75" x14ac:dyDescent="0.3">
      <c r="A65" s="15">
        <v>25</v>
      </c>
      <c r="B65" s="16" t="s">
        <v>98</v>
      </c>
      <c r="C65" s="20" t="s">
        <v>5</v>
      </c>
      <c r="D65" s="4">
        <v>9</v>
      </c>
      <c r="E65" s="4">
        <v>36</v>
      </c>
      <c r="F65" s="4">
        <v>1400</v>
      </c>
      <c r="G65" s="18">
        <f>F65</f>
        <v>1400</v>
      </c>
      <c r="H65" s="16" t="s">
        <v>88</v>
      </c>
    </row>
    <row r="66" spans="1:8" ht="18.75" x14ac:dyDescent="0.3">
      <c r="A66" s="15">
        <v>26</v>
      </c>
      <c r="B66" s="16" t="s">
        <v>99</v>
      </c>
      <c r="C66" s="20" t="s">
        <v>5</v>
      </c>
      <c r="D66" s="4">
        <v>9</v>
      </c>
      <c r="E66" s="4">
        <v>36</v>
      </c>
      <c r="F66" s="4">
        <v>1400</v>
      </c>
      <c r="G66" s="4"/>
      <c r="H66" s="16" t="s">
        <v>89</v>
      </c>
    </row>
    <row r="67" spans="1:8" ht="18.75" x14ac:dyDescent="0.3">
      <c r="A67" s="15">
        <v>27</v>
      </c>
      <c r="B67" s="16" t="s">
        <v>100</v>
      </c>
      <c r="C67" s="20" t="s">
        <v>5</v>
      </c>
      <c r="D67" s="4">
        <v>9</v>
      </c>
      <c r="E67" s="4">
        <v>36</v>
      </c>
      <c r="F67" s="4">
        <v>1400</v>
      </c>
      <c r="G67" s="4"/>
      <c r="H67" s="16" t="s">
        <v>90</v>
      </c>
    </row>
    <row r="68" spans="1:8" ht="18.75" x14ac:dyDescent="0.3">
      <c r="A68" s="25"/>
      <c r="B68" s="25"/>
      <c r="C68" s="25"/>
      <c r="D68" s="25"/>
      <c r="E68" s="25"/>
      <c r="F68" s="25"/>
      <c r="G68" s="25"/>
      <c r="H68" s="25"/>
    </row>
    <row r="69" spans="1:8" ht="18.75" x14ac:dyDescent="0.3">
      <c r="A69" s="34" t="s">
        <v>91</v>
      </c>
      <c r="B69" s="34"/>
      <c r="C69" s="34"/>
      <c r="D69" s="21">
        <f>SUM(D29:D68)</f>
        <v>311</v>
      </c>
      <c r="E69" s="21">
        <f>SUM(E29:E68)</f>
        <v>964</v>
      </c>
      <c r="F69" s="21">
        <f>SUM(F29:F67)</f>
        <v>27100</v>
      </c>
      <c r="G69" s="21">
        <f>SUM(G29:G67)</f>
        <v>17200</v>
      </c>
      <c r="H69" s="16"/>
    </row>
  </sheetData>
  <mergeCells count="19">
    <mergeCell ref="D10:E10"/>
    <mergeCell ref="A8:A9"/>
    <mergeCell ref="B8:B9"/>
    <mergeCell ref="C8:C9"/>
    <mergeCell ref="D8:D9"/>
    <mergeCell ref="E8:E9"/>
    <mergeCell ref="A35:A36"/>
    <mergeCell ref="B35:B36"/>
    <mergeCell ref="A37:A38"/>
    <mergeCell ref="B37:B38"/>
    <mergeCell ref="A39:A40"/>
    <mergeCell ref="B39:B40"/>
    <mergeCell ref="A69:C69"/>
    <mergeCell ref="A41:A42"/>
    <mergeCell ref="B41:B42"/>
    <mergeCell ref="A43:A44"/>
    <mergeCell ref="B43:B44"/>
    <mergeCell ref="A45:A46"/>
    <mergeCell ref="B45:B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2CD0-9C02-482F-8A51-A7590B3BA556}">
  <dimension ref="A1:H69"/>
  <sheetViews>
    <sheetView zoomScale="85" zoomScaleNormal="85" workbookViewId="0">
      <selection activeCell="H3" sqref="H3"/>
    </sheetView>
  </sheetViews>
  <sheetFormatPr defaultRowHeight="15" x14ac:dyDescent="0.25"/>
  <cols>
    <col min="2" max="2" width="28.140625" customWidth="1"/>
    <col min="7" max="7" width="11.28515625" customWidth="1"/>
    <col min="8" max="8" width="109.140625" customWidth="1"/>
  </cols>
  <sheetData>
    <row r="1" spans="1:5" s="3" customFormat="1" ht="18.75" x14ac:dyDescent="0.3">
      <c r="A1" s="2" t="s">
        <v>58</v>
      </c>
    </row>
    <row r="2" spans="1:5" s="3" customFormat="1" ht="18.75" x14ac:dyDescent="0.3">
      <c r="A2" s="26" t="s">
        <v>105</v>
      </c>
    </row>
    <row r="3" spans="1:5" s="3" customFormat="1" ht="18.75" x14ac:dyDescent="0.3">
      <c r="A3" s="2"/>
      <c r="B3" s="3" t="s">
        <v>112</v>
      </c>
    </row>
    <row r="4" spans="1:5" s="3" customFormat="1" ht="18.75" x14ac:dyDescent="0.3">
      <c r="A4" s="2"/>
      <c r="B4" s="3" t="s">
        <v>106</v>
      </c>
    </row>
    <row r="5" spans="1:5" s="3" customFormat="1" ht="18.75" x14ac:dyDescent="0.3">
      <c r="A5" s="2"/>
      <c r="B5" s="3" t="s">
        <v>107</v>
      </c>
    </row>
    <row r="6" spans="1:5" s="3" customFormat="1" ht="18.75" x14ac:dyDescent="0.3">
      <c r="A6" s="2"/>
      <c r="B6" s="3" t="s">
        <v>108</v>
      </c>
    </row>
    <row r="7" spans="1:5" s="3" customFormat="1" ht="18.75" x14ac:dyDescent="0.3"/>
    <row r="8" spans="1:5" s="3" customFormat="1" ht="33" customHeight="1" x14ac:dyDescent="0.3">
      <c r="A8" s="28" t="s">
        <v>6</v>
      </c>
      <c r="B8" s="28" t="s">
        <v>7</v>
      </c>
      <c r="C8" s="29" t="s">
        <v>8</v>
      </c>
      <c r="D8" s="28" t="s">
        <v>9</v>
      </c>
      <c r="E8" s="28" t="s">
        <v>2</v>
      </c>
    </row>
    <row r="9" spans="1:5" s="3" customFormat="1" ht="18.75" x14ac:dyDescent="0.3">
      <c r="A9" s="28"/>
      <c r="B9" s="28"/>
      <c r="C9" s="29"/>
      <c r="D9" s="28"/>
      <c r="E9" s="28"/>
    </row>
    <row r="10" spans="1:5" s="3" customFormat="1" ht="18.75" x14ac:dyDescent="0.3">
      <c r="A10" s="7" t="s">
        <v>10</v>
      </c>
      <c r="B10" s="7" t="s">
        <v>11</v>
      </c>
      <c r="C10" s="8"/>
      <c r="D10" s="28" t="s">
        <v>12</v>
      </c>
      <c r="E10" s="28"/>
    </row>
    <row r="11" spans="1:5" s="3" customFormat="1" ht="18.75" x14ac:dyDescent="0.3">
      <c r="A11" s="8">
        <v>1.1000000000000001</v>
      </c>
      <c r="B11" s="8" t="s">
        <v>13</v>
      </c>
      <c r="C11" s="8">
        <f>D69</f>
        <v>263</v>
      </c>
      <c r="D11" s="8" t="s">
        <v>14</v>
      </c>
      <c r="E11" s="8" t="s">
        <v>15</v>
      </c>
    </row>
    <row r="12" spans="1:5" s="3" customFormat="1" ht="18.75" x14ac:dyDescent="0.3">
      <c r="A12" s="8">
        <v>1.2</v>
      </c>
      <c r="B12" s="8" t="s">
        <v>16</v>
      </c>
      <c r="C12" s="8">
        <f>E69</f>
        <v>772</v>
      </c>
      <c r="D12" s="8" t="s">
        <v>17</v>
      </c>
      <c r="E12" s="8" t="s">
        <v>15</v>
      </c>
    </row>
    <row r="13" spans="1:5" s="3" customFormat="1" ht="18.75" x14ac:dyDescent="0.3">
      <c r="A13" s="8">
        <v>1.3</v>
      </c>
      <c r="B13" s="8" t="s">
        <v>109</v>
      </c>
      <c r="C13" s="8">
        <f>F69</f>
        <v>16000</v>
      </c>
      <c r="D13" s="8" t="s">
        <v>17</v>
      </c>
      <c r="E13" s="8" t="s">
        <v>15</v>
      </c>
    </row>
    <row r="14" spans="1:5" s="3" customFormat="1" ht="18.75" x14ac:dyDescent="0.3">
      <c r="A14" s="8">
        <v>1.4</v>
      </c>
      <c r="B14" s="8" t="s">
        <v>18</v>
      </c>
      <c r="C14" s="8">
        <v>3</v>
      </c>
      <c r="D14" s="8" t="s">
        <v>19</v>
      </c>
      <c r="E14" s="8" t="s">
        <v>15</v>
      </c>
    </row>
    <row r="15" spans="1:5" s="3" customFormat="1" ht="18.75" x14ac:dyDescent="0.3">
      <c r="A15" s="8">
        <v>1.5</v>
      </c>
      <c r="B15" s="8" t="s">
        <v>20</v>
      </c>
      <c r="C15" s="8"/>
      <c r="D15" s="8"/>
      <c r="E15" s="8"/>
    </row>
    <row r="16" spans="1:5" s="3" customFormat="1" ht="18.75" x14ac:dyDescent="0.3">
      <c r="A16" s="8">
        <v>1.6</v>
      </c>
      <c r="B16" s="8" t="s">
        <v>21</v>
      </c>
      <c r="C16" s="8">
        <f>COUNT(A29:A67)</f>
        <v>27</v>
      </c>
      <c r="D16" s="8" t="s">
        <v>22</v>
      </c>
      <c r="E16" s="8"/>
    </row>
    <row r="17" spans="1:8" s="3" customFormat="1" ht="18.75" x14ac:dyDescent="0.3">
      <c r="A17" s="7" t="s">
        <v>34</v>
      </c>
      <c r="B17" s="7" t="s">
        <v>24</v>
      </c>
      <c r="C17" s="8"/>
      <c r="D17" s="8"/>
      <c r="E17" s="7" t="s">
        <v>12</v>
      </c>
    </row>
    <row r="18" spans="1:8" s="3" customFormat="1" ht="18.75" x14ac:dyDescent="0.3">
      <c r="A18" s="8">
        <v>2.1</v>
      </c>
      <c r="B18" s="8" t="s">
        <v>25</v>
      </c>
      <c r="C18" s="8">
        <v>2</v>
      </c>
      <c r="D18" s="8" t="s">
        <v>26</v>
      </c>
      <c r="E18" s="8" t="s">
        <v>15</v>
      </c>
    </row>
    <row r="19" spans="1:8" s="3" customFormat="1" ht="18.75" x14ac:dyDescent="0.3">
      <c r="A19" s="7" t="s">
        <v>27</v>
      </c>
      <c r="B19" s="7" t="s">
        <v>28</v>
      </c>
      <c r="C19" s="8"/>
      <c r="D19" s="8"/>
      <c r="E19" s="7" t="s">
        <v>12</v>
      </c>
    </row>
    <row r="20" spans="1:8" s="3" customFormat="1" ht="18.75" x14ac:dyDescent="0.3">
      <c r="A20" s="8">
        <v>4.0999999999999996</v>
      </c>
      <c r="B20" s="8" t="s">
        <v>29</v>
      </c>
      <c r="C20" s="8">
        <f>G69</f>
        <v>8700</v>
      </c>
      <c r="D20" s="8" t="s">
        <v>17</v>
      </c>
      <c r="E20" s="8"/>
    </row>
    <row r="21" spans="1:8" s="3" customFormat="1" ht="18.75" x14ac:dyDescent="0.3">
      <c r="A21" s="7" t="s">
        <v>33</v>
      </c>
      <c r="B21" s="7" t="s">
        <v>30</v>
      </c>
      <c r="C21" s="8"/>
      <c r="D21" s="8" t="s">
        <v>12</v>
      </c>
      <c r="E21" s="7"/>
    </row>
    <row r="22" spans="1:8" s="3" customFormat="1" ht="18.75" x14ac:dyDescent="0.3">
      <c r="A22" s="8" t="s">
        <v>15</v>
      </c>
      <c r="B22" s="8" t="s">
        <v>31</v>
      </c>
      <c r="C22" s="8">
        <v>2</v>
      </c>
      <c r="D22" s="8" t="s">
        <v>23</v>
      </c>
      <c r="E22" s="8" t="s">
        <v>15</v>
      </c>
    </row>
    <row r="23" spans="1:8" s="3" customFormat="1" ht="18.75" x14ac:dyDescent="0.3">
      <c r="A23" s="8">
        <v>5.0999999999999996</v>
      </c>
      <c r="B23" s="8" t="s">
        <v>55</v>
      </c>
      <c r="C23" s="8">
        <v>2</v>
      </c>
      <c r="D23" s="8" t="s">
        <v>32</v>
      </c>
      <c r="E23" s="8"/>
    </row>
    <row r="24" spans="1:8" s="3" customFormat="1" ht="33" x14ac:dyDescent="0.3">
      <c r="A24" s="8">
        <v>5.2</v>
      </c>
      <c r="B24" s="8" t="s">
        <v>56</v>
      </c>
      <c r="C24" s="8">
        <v>2</v>
      </c>
      <c r="D24" s="8" t="s">
        <v>23</v>
      </c>
      <c r="E24" s="8"/>
    </row>
    <row r="25" spans="1:8" ht="23.25" x14ac:dyDescent="0.35">
      <c r="A25" s="13" t="s">
        <v>67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2"/>
      <c r="B27" s="12"/>
      <c r="C27" s="12"/>
      <c r="D27" s="12"/>
      <c r="E27" s="12"/>
      <c r="F27" s="12"/>
      <c r="G27" s="12"/>
      <c r="H27" s="12"/>
    </row>
    <row r="28" spans="1:8" ht="18.75" x14ac:dyDescent="0.25">
      <c r="A28" s="14" t="s">
        <v>59</v>
      </c>
      <c r="B28" s="14" t="s">
        <v>0</v>
      </c>
      <c r="C28" s="14" t="s">
        <v>1</v>
      </c>
      <c r="D28" s="14" t="s">
        <v>14</v>
      </c>
      <c r="E28" s="14" t="s">
        <v>16</v>
      </c>
      <c r="F28" s="14" t="s">
        <v>60</v>
      </c>
      <c r="G28" s="14" t="s">
        <v>110</v>
      </c>
      <c r="H28" s="14" t="s">
        <v>2</v>
      </c>
    </row>
    <row r="29" spans="1:8" ht="18.75" x14ac:dyDescent="0.3">
      <c r="A29" s="15">
        <v>1</v>
      </c>
      <c r="B29" s="16" t="s">
        <v>61</v>
      </c>
      <c r="C29" s="17" t="s">
        <v>3</v>
      </c>
      <c r="D29" s="18">
        <v>4</v>
      </c>
      <c r="E29" s="18">
        <v>8</v>
      </c>
      <c r="F29" s="18">
        <v>100</v>
      </c>
      <c r="G29" s="18"/>
      <c r="H29" s="16" t="s">
        <v>74</v>
      </c>
    </row>
    <row r="30" spans="1:8" ht="18.75" x14ac:dyDescent="0.3">
      <c r="A30" s="15">
        <v>2</v>
      </c>
      <c r="B30" s="16" t="s">
        <v>62</v>
      </c>
      <c r="C30" s="17" t="s">
        <v>3</v>
      </c>
      <c r="D30" s="18">
        <v>4</v>
      </c>
      <c r="E30" s="18">
        <v>8</v>
      </c>
      <c r="F30" s="18">
        <v>100</v>
      </c>
      <c r="G30" s="18"/>
      <c r="H30" s="16" t="s">
        <v>75</v>
      </c>
    </row>
    <row r="31" spans="1:8" ht="18.75" x14ac:dyDescent="0.3">
      <c r="A31" s="25"/>
      <c r="B31" s="25"/>
      <c r="C31" s="25"/>
      <c r="D31" s="25"/>
      <c r="E31" s="25"/>
      <c r="F31" s="25"/>
      <c r="G31" s="25"/>
      <c r="H31" s="25"/>
    </row>
    <row r="32" spans="1:8" ht="18.75" x14ac:dyDescent="0.3">
      <c r="A32" s="15">
        <v>3</v>
      </c>
      <c r="B32" s="16" t="s">
        <v>63</v>
      </c>
      <c r="C32" s="19" t="s">
        <v>4</v>
      </c>
      <c r="D32" s="18">
        <v>8</v>
      </c>
      <c r="E32" s="18">
        <v>16</v>
      </c>
      <c r="F32" s="18">
        <v>200</v>
      </c>
      <c r="G32" s="18">
        <f>F32</f>
        <v>200</v>
      </c>
      <c r="H32" s="16" t="s">
        <v>76</v>
      </c>
    </row>
    <row r="33" spans="1:8" ht="18.75" x14ac:dyDescent="0.3">
      <c r="A33" s="15">
        <v>4</v>
      </c>
      <c r="B33" s="16" t="s">
        <v>64</v>
      </c>
      <c r="C33" s="19" t="s">
        <v>4</v>
      </c>
      <c r="D33" s="18">
        <v>8</v>
      </c>
      <c r="E33" s="18">
        <v>16</v>
      </c>
      <c r="F33" s="18">
        <v>200</v>
      </c>
      <c r="G33" s="18"/>
      <c r="H33" s="16" t="s">
        <v>77</v>
      </c>
    </row>
    <row r="34" spans="1:8" ht="18.75" x14ac:dyDescent="0.3">
      <c r="A34" s="15">
        <v>5</v>
      </c>
      <c r="B34" s="16" t="s">
        <v>65</v>
      </c>
      <c r="C34" s="19" t="s">
        <v>4</v>
      </c>
      <c r="D34" s="18">
        <v>8</v>
      </c>
      <c r="E34" s="18">
        <v>16</v>
      </c>
      <c r="F34" s="18">
        <v>200</v>
      </c>
      <c r="G34" s="18"/>
      <c r="H34" s="16" t="s">
        <v>78</v>
      </c>
    </row>
    <row r="35" spans="1:8" ht="18.75" x14ac:dyDescent="0.3">
      <c r="A35" s="30">
        <v>6</v>
      </c>
      <c r="B35" s="32" t="s">
        <v>68</v>
      </c>
      <c r="C35" s="23" t="s">
        <v>4</v>
      </c>
      <c r="D35" s="5">
        <v>14</v>
      </c>
      <c r="E35" s="5">
        <v>36</v>
      </c>
      <c r="F35" s="5">
        <v>300</v>
      </c>
      <c r="G35" s="5"/>
      <c r="H35" s="16" t="s">
        <v>101</v>
      </c>
    </row>
    <row r="36" spans="1:8" ht="18.75" x14ac:dyDescent="0.3">
      <c r="A36" s="31"/>
      <c r="B36" s="33"/>
      <c r="C36" s="24"/>
      <c r="D36" s="18"/>
      <c r="E36" s="18"/>
      <c r="F36" s="18">
        <v>900</v>
      </c>
      <c r="G36" s="18">
        <f>F36</f>
        <v>900</v>
      </c>
      <c r="H36" s="16" t="s">
        <v>102</v>
      </c>
    </row>
    <row r="37" spans="1:8" ht="18.75" customHeight="1" x14ac:dyDescent="0.3">
      <c r="A37" s="30">
        <v>7</v>
      </c>
      <c r="B37" s="32" t="s">
        <v>69</v>
      </c>
      <c r="C37" s="23" t="s">
        <v>4</v>
      </c>
      <c r="D37" s="5">
        <v>14</v>
      </c>
      <c r="E37" s="5">
        <v>36</v>
      </c>
      <c r="F37" s="5">
        <v>300</v>
      </c>
      <c r="G37" s="5"/>
      <c r="H37" s="16" t="s">
        <v>101</v>
      </c>
    </row>
    <row r="38" spans="1:8" ht="18.75" x14ac:dyDescent="0.3">
      <c r="A38" s="31"/>
      <c r="B38" s="33"/>
      <c r="C38" s="24"/>
      <c r="D38" s="18"/>
      <c r="E38" s="18"/>
      <c r="F38" s="18">
        <v>900</v>
      </c>
      <c r="G38" s="18">
        <f>F38</f>
        <v>900</v>
      </c>
      <c r="H38" s="16" t="s">
        <v>102</v>
      </c>
    </row>
    <row r="39" spans="1:8" ht="18.75" x14ac:dyDescent="0.3">
      <c r="A39" s="30">
        <v>8</v>
      </c>
      <c r="B39" s="32" t="s">
        <v>70</v>
      </c>
      <c r="C39" s="23" t="s">
        <v>4</v>
      </c>
      <c r="D39" s="5">
        <v>14</v>
      </c>
      <c r="E39" s="5">
        <v>36</v>
      </c>
      <c r="F39" s="5">
        <v>300</v>
      </c>
      <c r="G39" s="5"/>
      <c r="H39" s="16" t="s">
        <v>101</v>
      </c>
    </row>
    <row r="40" spans="1:8" ht="18.75" x14ac:dyDescent="0.3">
      <c r="A40" s="31"/>
      <c r="B40" s="33"/>
      <c r="C40" s="24"/>
      <c r="D40" s="18"/>
      <c r="E40" s="18"/>
      <c r="F40" s="18">
        <v>900</v>
      </c>
      <c r="G40" s="18">
        <f>F40</f>
        <v>900</v>
      </c>
      <c r="H40" s="16" t="s">
        <v>102</v>
      </c>
    </row>
    <row r="41" spans="1:8" ht="18.75" x14ac:dyDescent="0.3">
      <c r="A41" s="30">
        <v>9</v>
      </c>
      <c r="B41" s="32" t="s">
        <v>71</v>
      </c>
      <c r="C41" s="23" t="s">
        <v>4</v>
      </c>
      <c r="D41" s="5">
        <v>14</v>
      </c>
      <c r="E41" s="5">
        <v>36</v>
      </c>
      <c r="F41" s="5">
        <v>300</v>
      </c>
      <c r="G41" s="5"/>
      <c r="H41" s="16" t="s">
        <v>101</v>
      </c>
    </row>
    <row r="42" spans="1:8" ht="18.75" x14ac:dyDescent="0.3">
      <c r="A42" s="31"/>
      <c r="B42" s="33"/>
      <c r="C42" s="24"/>
      <c r="D42" s="18"/>
      <c r="E42" s="18"/>
      <c r="F42" s="18">
        <v>900</v>
      </c>
      <c r="G42" s="18">
        <f>F42</f>
        <v>900</v>
      </c>
      <c r="H42" s="16" t="s">
        <v>102</v>
      </c>
    </row>
    <row r="43" spans="1:8" ht="18.75" x14ac:dyDescent="0.3">
      <c r="A43" s="30">
        <v>10</v>
      </c>
      <c r="B43" s="32" t="s">
        <v>72</v>
      </c>
      <c r="C43" s="23" t="s">
        <v>4</v>
      </c>
      <c r="D43" s="5">
        <v>14</v>
      </c>
      <c r="E43" s="5">
        <v>36</v>
      </c>
      <c r="F43" s="5">
        <v>300</v>
      </c>
      <c r="G43" s="5"/>
      <c r="H43" s="16" t="s">
        <v>101</v>
      </c>
    </row>
    <row r="44" spans="1:8" ht="18.75" x14ac:dyDescent="0.3">
      <c r="A44" s="31"/>
      <c r="B44" s="33"/>
      <c r="C44" s="24"/>
      <c r="D44" s="18"/>
      <c r="E44" s="18"/>
      <c r="F44" s="18">
        <v>900</v>
      </c>
      <c r="G44" s="18">
        <f>F44</f>
        <v>900</v>
      </c>
      <c r="H44" s="16" t="s">
        <v>102</v>
      </c>
    </row>
    <row r="45" spans="1:8" ht="18.75" x14ac:dyDescent="0.3">
      <c r="A45" s="30">
        <v>11</v>
      </c>
      <c r="B45" s="32" t="s">
        <v>73</v>
      </c>
      <c r="C45" s="23" t="s">
        <v>4</v>
      </c>
      <c r="D45" s="5">
        <v>14</v>
      </c>
      <c r="E45" s="5">
        <v>36</v>
      </c>
      <c r="F45" s="5">
        <v>300</v>
      </c>
      <c r="G45" s="5"/>
      <c r="H45" s="16" t="s">
        <v>101</v>
      </c>
    </row>
    <row r="46" spans="1:8" ht="18.75" x14ac:dyDescent="0.3">
      <c r="A46" s="31"/>
      <c r="B46" s="33"/>
      <c r="C46" s="24"/>
      <c r="D46" s="18"/>
      <c r="E46" s="18"/>
      <c r="F46" s="18">
        <v>900</v>
      </c>
      <c r="G46" s="18">
        <f>F46</f>
        <v>900</v>
      </c>
      <c r="H46" s="16" t="s">
        <v>102</v>
      </c>
    </row>
    <row r="47" spans="1:8" ht="18.75" x14ac:dyDescent="0.3">
      <c r="A47" s="15"/>
      <c r="B47" s="16"/>
      <c r="C47" s="19"/>
      <c r="D47" s="18"/>
      <c r="E47" s="18"/>
      <c r="F47" s="18"/>
      <c r="G47" s="18"/>
      <c r="H47" s="16"/>
    </row>
    <row r="48" spans="1:8" ht="18.75" x14ac:dyDescent="0.3">
      <c r="A48" s="15">
        <v>12</v>
      </c>
      <c r="B48" s="16" t="s">
        <v>104</v>
      </c>
      <c r="C48" s="19" t="s">
        <v>4</v>
      </c>
      <c r="D48" s="6">
        <v>16</v>
      </c>
      <c r="E48" s="6">
        <v>64</v>
      </c>
      <c r="F48" s="6">
        <v>400</v>
      </c>
      <c r="G48" s="6"/>
      <c r="H48" s="16" t="s">
        <v>79</v>
      </c>
    </row>
    <row r="49" spans="1:8" ht="18.75" x14ac:dyDescent="0.3">
      <c r="A49" s="15">
        <v>13</v>
      </c>
      <c r="B49" s="16" t="s">
        <v>104</v>
      </c>
      <c r="C49" s="19" t="s">
        <v>4</v>
      </c>
      <c r="D49" s="6">
        <v>16</v>
      </c>
      <c r="E49" s="6">
        <v>64</v>
      </c>
      <c r="F49" s="6">
        <v>400</v>
      </c>
      <c r="G49" s="6"/>
      <c r="H49" s="16" t="s">
        <v>80</v>
      </c>
    </row>
    <row r="50" spans="1:8" ht="18.75" x14ac:dyDescent="0.3">
      <c r="A50" s="15">
        <v>14</v>
      </c>
      <c r="B50" s="16" t="s">
        <v>104</v>
      </c>
      <c r="C50" s="19" t="s">
        <v>4</v>
      </c>
      <c r="D50" s="6">
        <v>16</v>
      </c>
      <c r="E50" s="6">
        <v>64</v>
      </c>
      <c r="F50" s="6">
        <v>400</v>
      </c>
      <c r="G50" s="6"/>
      <c r="H50" s="16" t="s">
        <v>81</v>
      </c>
    </row>
    <row r="51" spans="1:8" ht="18.75" x14ac:dyDescent="0.3">
      <c r="A51" s="15">
        <v>15</v>
      </c>
      <c r="B51" s="16" t="s">
        <v>104</v>
      </c>
      <c r="C51" s="19" t="s">
        <v>4</v>
      </c>
      <c r="D51" s="6"/>
      <c r="E51" s="6"/>
      <c r="F51" s="6"/>
      <c r="G51" s="6"/>
      <c r="H51" s="16" t="s">
        <v>79</v>
      </c>
    </row>
    <row r="52" spans="1:8" ht="18.75" x14ac:dyDescent="0.3">
      <c r="A52" s="15">
        <v>16</v>
      </c>
      <c r="B52" s="16" t="s">
        <v>104</v>
      </c>
      <c r="C52" s="19" t="s">
        <v>4</v>
      </c>
      <c r="D52" s="6"/>
      <c r="E52" s="6"/>
      <c r="F52" s="6"/>
      <c r="G52" s="6"/>
      <c r="H52" s="16" t="s">
        <v>80</v>
      </c>
    </row>
    <row r="53" spans="1:8" ht="18.75" x14ac:dyDescent="0.3">
      <c r="A53" s="15">
        <v>17</v>
      </c>
      <c r="B53" s="16" t="s">
        <v>104</v>
      </c>
      <c r="C53" s="19" t="s">
        <v>4</v>
      </c>
      <c r="D53" s="6"/>
      <c r="E53" s="6"/>
      <c r="F53" s="6"/>
      <c r="G53" s="6"/>
      <c r="H53" s="16" t="s">
        <v>81</v>
      </c>
    </row>
    <row r="54" spans="1:8" ht="18.75" x14ac:dyDescent="0.3">
      <c r="A54" s="15"/>
      <c r="B54" s="16"/>
      <c r="C54" s="19"/>
      <c r="D54" s="18"/>
      <c r="E54" s="18"/>
      <c r="F54" s="18"/>
      <c r="G54" s="18"/>
      <c r="H54" s="22"/>
    </row>
    <row r="55" spans="1:8" ht="18.75" x14ac:dyDescent="0.3">
      <c r="A55" s="15">
        <v>18</v>
      </c>
      <c r="B55" s="16" t="s">
        <v>92</v>
      </c>
      <c r="C55" s="19" t="s">
        <v>4</v>
      </c>
      <c r="D55" s="5">
        <v>12</v>
      </c>
      <c r="E55" s="5">
        <v>24</v>
      </c>
      <c r="F55" s="5">
        <v>500</v>
      </c>
      <c r="G55" s="5"/>
      <c r="H55" s="16" t="s">
        <v>82</v>
      </c>
    </row>
    <row r="56" spans="1:8" ht="18.75" x14ac:dyDescent="0.3">
      <c r="A56" s="15">
        <v>19</v>
      </c>
      <c r="B56" s="16" t="s">
        <v>93</v>
      </c>
      <c r="C56" s="19" t="s">
        <v>4</v>
      </c>
      <c r="D56" s="5">
        <v>12</v>
      </c>
      <c r="E56" s="5">
        <v>24</v>
      </c>
      <c r="F56" s="5">
        <v>500</v>
      </c>
      <c r="G56" s="5"/>
      <c r="H56" s="16" t="s">
        <v>83</v>
      </c>
    </row>
    <row r="57" spans="1:8" ht="18.75" x14ac:dyDescent="0.3">
      <c r="A57" s="15">
        <v>20</v>
      </c>
      <c r="B57" s="16" t="s">
        <v>94</v>
      </c>
      <c r="C57" s="19" t="s">
        <v>4</v>
      </c>
      <c r="D57" s="5">
        <v>12</v>
      </c>
      <c r="E57" s="5">
        <v>24</v>
      </c>
      <c r="F57" s="5">
        <v>500</v>
      </c>
      <c r="G57" s="5"/>
      <c r="H57" s="16" t="s">
        <v>84</v>
      </c>
    </row>
    <row r="58" spans="1:8" ht="18.75" x14ac:dyDescent="0.3">
      <c r="A58" s="15"/>
      <c r="B58" s="16"/>
      <c r="C58" s="19"/>
      <c r="D58" s="18"/>
      <c r="E58" s="18"/>
      <c r="F58" s="18"/>
      <c r="G58" s="18"/>
      <c r="H58" s="16"/>
    </row>
    <row r="59" spans="1:8" ht="18.75" x14ac:dyDescent="0.3">
      <c r="A59" s="15">
        <v>21</v>
      </c>
      <c r="B59" s="16" t="s">
        <v>66</v>
      </c>
      <c r="C59" s="19" t="s">
        <v>4</v>
      </c>
      <c r="D59" s="4">
        <v>12</v>
      </c>
      <c r="E59" s="4">
        <v>24</v>
      </c>
      <c r="F59" s="4">
        <v>800</v>
      </c>
      <c r="G59" s="4"/>
      <c r="H59" s="16" t="s">
        <v>103</v>
      </c>
    </row>
    <row r="60" spans="1:8" ht="18.75" x14ac:dyDescent="0.3">
      <c r="A60" s="25"/>
      <c r="B60" s="25"/>
      <c r="C60" s="25"/>
      <c r="D60" s="25"/>
      <c r="E60" s="25"/>
      <c r="F60" s="25"/>
      <c r="G60" s="25"/>
      <c r="H60" s="25"/>
    </row>
    <row r="61" spans="1:8" ht="18.75" x14ac:dyDescent="0.3">
      <c r="A61" s="15">
        <v>22</v>
      </c>
      <c r="B61" s="16" t="s">
        <v>95</v>
      </c>
      <c r="C61" s="20" t="s">
        <v>5</v>
      </c>
      <c r="D61" s="1">
        <v>8</v>
      </c>
      <c r="E61" s="1">
        <v>32</v>
      </c>
      <c r="F61" s="1">
        <v>800</v>
      </c>
      <c r="G61" s="18">
        <f>F61</f>
        <v>800</v>
      </c>
      <c r="H61" s="16" t="s">
        <v>85</v>
      </c>
    </row>
    <row r="62" spans="1:8" ht="18.75" x14ac:dyDescent="0.3">
      <c r="A62" s="15">
        <v>23</v>
      </c>
      <c r="B62" s="16" t="s">
        <v>96</v>
      </c>
      <c r="C62" s="20" t="s">
        <v>5</v>
      </c>
      <c r="D62" s="1">
        <v>8</v>
      </c>
      <c r="E62" s="1">
        <v>32</v>
      </c>
      <c r="F62" s="1">
        <v>800</v>
      </c>
      <c r="G62" s="18">
        <f>F62</f>
        <v>800</v>
      </c>
      <c r="H62" s="16" t="s">
        <v>86</v>
      </c>
    </row>
    <row r="63" spans="1:8" ht="18.75" x14ac:dyDescent="0.3">
      <c r="A63" s="15">
        <v>24</v>
      </c>
      <c r="B63" s="16" t="s">
        <v>97</v>
      </c>
      <c r="C63" s="20" t="s">
        <v>5</v>
      </c>
      <c r="D63" s="1">
        <v>8</v>
      </c>
      <c r="E63" s="1">
        <v>32</v>
      </c>
      <c r="F63" s="1">
        <v>800</v>
      </c>
      <c r="G63" s="18">
        <f>F63</f>
        <v>800</v>
      </c>
      <c r="H63" s="16" t="s">
        <v>87</v>
      </c>
    </row>
    <row r="64" spans="1:8" ht="18.75" x14ac:dyDescent="0.3">
      <c r="A64" s="15"/>
      <c r="B64" s="16"/>
      <c r="C64" s="20"/>
      <c r="D64" s="18"/>
      <c r="E64" s="18"/>
      <c r="F64" s="18"/>
      <c r="G64" s="18"/>
      <c r="H64" s="16"/>
    </row>
    <row r="65" spans="1:8" ht="18.75" x14ac:dyDescent="0.3">
      <c r="A65" s="15">
        <v>25</v>
      </c>
      <c r="B65" s="16" t="s">
        <v>98</v>
      </c>
      <c r="C65" s="20" t="s">
        <v>5</v>
      </c>
      <c r="D65" s="4">
        <v>9</v>
      </c>
      <c r="E65" s="4">
        <v>36</v>
      </c>
      <c r="F65" s="4">
        <v>700</v>
      </c>
      <c r="G65" s="18">
        <f>F65</f>
        <v>700</v>
      </c>
      <c r="H65" s="16" t="s">
        <v>88</v>
      </c>
    </row>
    <row r="66" spans="1:8" ht="18.75" x14ac:dyDescent="0.3">
      <c r="A66" s="15">
        <v>26</v>
      </c>
      <c r="B66" s="16" t="s">
        <v>99</v>
      </c>
      <c r="C66" s="20" t="s">
        <v>5</v>
      </c>
      <c r="D66" s="4">
        <v>9</v>
      </c>
      <c r="E66" s="4">
        <v>36</v>
      </c>
      <c r="F66" s="4">
        <v>700</v>
      </c>
      <c r="G66" s="4"/>
      <c r="H66" s="16" t="s">
        <v>89</v>
      </c>
    </row>
    <row r="67" spans="1:8" ht="18.75" x14ac:dyDescent="0.3">
      <c r="A67" s="15">
        <v>27</v>
      </c>
      <c r="B67" s="16" t="s">
        <v>100</v>
      </c>
      <c r="C67" s="20" t="s">
        <v>5</v>
      </c>
      <c r="D67" s="4">
        <v>9</v>
      </c>
      <c r="E67" s="4">
        <v>36</v>
      </c>
      <c r="F67" s="4">
        <v>700</v>
      </c>
      <c r="G67" s="4"/>
      <c r="H67" s="16" t="s">
        <v>90</v>
      </c>
    </row>
    <row r="68" spans="1:8" ht="18.75" x14ac:dyDescent="0.3">
      <c r="A68" s="25"/>
      <c r="B68" s="25"/>
      <c r="C68" s="25"/>
      <c r="D68" s="25"/>
      <c r="E68" s="25"/>
      <c r="F68" s="25"/>
      <c r="G68" s="25"/>
      <c r="H68" s="25"/>
    </row>
    <row r="69" spans="1:8" ht="18.75" x14ac:dyDescent="0.3">
      <c r="A69" s="34" t="s">
        <v>91</v>
      </c>
      <c r="B69" s="34"/>
      <c r="C69" s="34"/>
      <c r="D69" s="21">
        <f>SUM(D29:D68)</f>
        <v>263</v>
      </c>
      <c r="E69" s="21">
        <f>SUM(E29:E68)</f>
        <v>772</v>
      </c>
      <c r="F69" s="21">
        <f>SUM(F29:F67)</f>
        <v>16000</v>
      </c>
      <c r="G69" s="21">
        <f>SUM(G29:G67)</f>
        <v>8700</v>
      </c>
      <c r="H69" s="16"/>
    </row>
  </sheetData>
  <mergeCells count="19">
    <mergeCell ref="D10:E10"/>
    <mergeCell ref="A8:A9"/>
    <mergeCell ref="B8:B9"/>
    <mergeCell ref="C8:C9"/>
    <mergeCell ref="D8:D9"/>
    <mergeCell ref="E8:E9"/>
    <mergeCell ref="A35:A36"/>
    <mergeCell ref="B35:B36"/>
    <mergeCell ref="A37:A38"/>
    <mergeCell ref="B37:B38"/>
    <mergeCell ref="A39:A40"/>
    <mergeCell ref="B39:B40"/>
    <mergeCell ref="A69:C69"/>
    <mergeCell ref="A41:A42"/>
    <mergeCell ref="B41:B42"/>
    <mergeCell ref="A43:A44"/>
    <mergeCell ref="B43:B44"/>
    <mergeCell ref="A45:A46"/>
    <mergeCell ref="B45:B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002D-E90D-4756-BBC6-AAD2C4A2F339}">
  <dimension ref="A1:K11"/>
  <sheetViews>
    <sheetView workbookViewId="0">
      <selection activeCell="C53" sqref="C53"/>
    </sheetView>
  </sheetViews>
  <sheetFormatPr defaultRowHeight="15" x14ac:dyDescent="0.25"/>
  <cols>
    <col min="4" max="4" width="10.28515625" customWidth="1"/>
    <col min="8" max="8" width="47.140625" customWidth="1"/>
  </cols>
  <sheetData>
    <row r="1" spans="1:11" ht="18.75" x14ac:dyDescent="0.25">
      <c r="A1" s="40" t="s">
        <v>35</v>
      </c>
      <c r="B1" s="40"/>
      <c r="C1" s="40"/>
      <c r="D1" s="40"/>
      <c r="E1" s="40" t="s">
        <v>36</v>
      </c>
      <c r="F1" s="40"/>
      <c r="G1" s="11" t="s">
        <v>9</v>
      </c>
      <c r="H1" s="40" t="s">
        <v>37</v>
      </c>
      <c r="I1" s="40"/>
      <c r="J1" s="40"/>
      <c r="K1" s="40"/>
    </row>
    <row r="2" spans="1:11" ht="59.25" customHeight="1" x14ac:dyDescent="0.25">
      <c r="A2" s="35" t="s">
        <v>38</v>
      </c>
      <c r="B2" s="35"/>
      <c r="C2" s="35"/>
      <c r="D2" s="35"/>
      <c r="E2" s="36">
        <v>100</v>
      </c>
      <c r="F2" s="36"/>
      <c r="G2" s="10" t="s">
        <v>39</v>
      </c>
      <c r="H2" s="38" t="s">
        <v>57</v>
      </c>
      <c r="I2" s="35"/>
      <c r="J2" s="35"/>
      <c r="K2" s="35"/>
    </row>
    <row r="3" spans="1:11" ht="18.75" x14ac:dyDescent="0.25">
      <c r="A3" s="35" t="s">
        <v>40</v>
      </c>
      <c r="B3" s="35"/>
      <c r="C3" s="35"/>
      <c r="D3" s="35"/>
      <c r="E3" s="39">
        <v>0.2</v>
      </c>
      <c r="F3" s="36"/>
      <c r="G3" s="10"/>
      <c r="H3" s="38" t="s">
        <v>41</v>
      </c>
      <c r="I3" s="38"/>
      <c r="J3" s="38"/>
      <c r="K3" s="38"/>
    </row>
    <row r="4" spans="1:11" ht="36" customHeight="1" x14ac:dyDescent="0.25">
      <c r="A4" s="35" t="s">
        <v>42</v>
      </c>
      <c r="B4" s="35"/>
      <c r="C4" s="35"/>
      <c r="D4" s="35"/>
      <c r="E4" s="39">
        <v>1.5</v>
      </c>
      <c r="F4" s="36"/>
      <c r="G4" s="10"/>
      <c r="H4" s="38" t="s">
        <v>43</v>
      </c>
      <c r="I4" s="38"/>
      <c r="J4" s="38"/>
      <c r="K4" s="38"/>
    </row>
    <row r="5" spans="1:11" ht="18.75" x14ac:dyDescent="0.25">
      <c r="A5" s="35" t="s">
        <v>44</v>
      </c>
      <c r="B5" s="35"/>
      <c r="C5" s="35"/>
      <c r="D5" s="35"/>
      <c r="E5" s="36">
        <v>30</v>
      </c>
      <c r="F5" s="36"/>
      <c r="G5" s="10" t="s">
        <v>45</v>
      </c>
      <c r="H5" s="38"/>
      <c r="I5" s="38"/>
      <c r="J5" s="38"/>
      <c r="K5" s="38"/>
    </row>
    <row r="6" spans="1:11" ht="18.75" x14ac:dyDescent="0.25">
      <c r="A6" s="9" t="s">
        <v>46</v>
      </c>
      <c r="B6" s="9"/>
      <c r="C6" s="9"/>
      <c r="D6" s="9"/>
      <c r="E6" s="36">
        <f>E2*(1+E3+E4)*E5</f>
        <v>8100</v>
      </c>
      <c r="F6" s="36"/>
      <c r="G6" s="10" t="s">
        <v>45</v>
      </c>
      <c r="H6" s="38"/>
      <c r="I6" s="38"/>
      <c r="J6" s="38"/>
      <c r="K6" s="38"/>
    </row>
    <row r="7" spans="1:11" ht="18.75" x14ac:dyDescent="0.25">
      <c r="A7" s="9" t="s">
        <v>47</v>
      </c>
      <c r="B7" s="9"/>
      <c r="C7" s="9"/>
      <c r="D7" s="9"/>
      <c r="E7" s="36">
        <f>E6/60</f>
        <v>135</v>
      </c>
      <c r="F7" s="36"/>
      <c r="G7" s="10" t="s">
        <v>45</v>
      </c>
      <c r="H7" s="38"/>
      <c r="I7" s="38"/>
      <c r="J7" s="38"/>
      <c r="K7" s="38"/>
    </row>
    <row r="8" spans="1:11" ht="18.75" x14ac:dyDescent="0.25">
      <c r="A8" s="35" t="s">
        <v>48</v>
      </c>
      <c r="B8" s="35"/>
      <c r="C8" s="35"/>
      <c r="D8" s="35"/>
      <c r="E8" s="36">
        <v>7</v>
      </c>
      <c r="F8" s="36"/>
      <c r="G8" s="10" t="s">
        <v>49</v>
      </c>
      <c r="H8" s="38"/>
      <c r="I8" s="38"/>
      <c r="J8" s="38"/>
      <c r="K8" s="38"/>
    </row>
    <row r="9" spans="1:11" ht="18.75" x14ac:dyDescent="0.25">
      <c r="A9" s="35" t="s">
        <v>50</v>
      </c>
      <c r="B9" s="35"/>
      <c r="C9" s="35"/>
      <c r="D9" s="35"/>
      <c r="E9" s="39">
        <v>0.2</v>
      </c>
      <c r="F9" s="36"/>
      <c r="G9" s="10"/>
      <c r="H9" s="38"/>
      <c r="I9" s="38"/>
      <c r="J9" s="38"/>
      <c r="K9" s="38"/>
    </row>
    <row r="10" spans="1:11" ht="18.75" x14ac:dyDescent="0.25">
      <c r="A10" s="35" t="s">
        <v>51</v>
      </c>
      <c r="B10" s="35"/>
      <c r="C10" s="35"/>
      <c r="D10" s="35"/>
      <c r="E10" s="36">
        <f>E7*(1+E9)/E8</f>
        <v>23.142857142857142</v>
      </c>
      <c r="F10" s="36"/>
      <c r="G10" s="10" t="s">
        <v>52</v>
      </c>
      <c r="H10" s="37"/>
      <c r="I10" s="37"/>
      <c r="J10" s="37"/>
      <c r="K10" s="37"/>
    </row>
    <row r="11" spans="1:11" ht="18.75" x14ac:dyDescent="0.25">
      <c r="A11" s="35" t="s">
        <v>53</v>
      </c>
      <c r="B11" s="35"/>
      <c r="C11" s="35"/>
      <c r="D11" s="35"/>
      <c r="E11" s="36">
        <f>E10*8</f>
        <v>185.14285714285714</v>
      </c>
      <c r="F11" s="36"/>
      <c r="G11" s="10" t="s">
        <v>54</v>
      </c>
      <c r="H11" s="37"/>
      <c r="I11" s="37"/>
      <c r="J11" s="37"/>
      <c r="K11" s="37"/>
    </row>
  </sheetData>
  <mergeCells count="31">
    <mergeCell ref="A1:D1"/>
    <mergeCell ref="E1:F1"/>
    <mergeCell ref="H1:K1"/>
    <mergeCell ref="A2:D2"/>
    <mergeCell ref="E2:F2"/>
    <mergeCell ref="H2:K2"/>
    <mergeCell ref="E7:F7"/>
    <mergeCell ref="H7:K7"/>
    <mergeCell ref="A3:D3"/>
    <mergeCell ref="E3:F3"/>
    <mergeCell ref="H3:K3"/>
    <mergeCell ref="A4:D4"/>
    <mergeCell ref="E4:F4"/>
    <mergeCell ref="H4:K4"/>
    <mergeCell ref="A5:D5"/>
    <mergeCell ref="E5:F5"/>
    <mergeCell ref="H5:K5"/>
    <mergeCell ref="E6:F6"/>
    <mergeCell ref="H6:K6"/>
    <mergeCell ref="A8:D8"/>
    <mergeCell ref="E8:F8"/>
    <mergeCell ref="H8:K8"/>
    <mergeCell ref="A9:D9"/>
    <mergeCell ref="E9:F9"/>
    <mergeCell ref="H9:K9"/>
    <mergeCell ref="A10:D10"/>
    <mergeCell ref="E10:F10"/>
    <mergeCell ref="H10:K10"/>
    <mergeCell ref="A11:D11"/>
    <mergeCell ref="E11:F11"/>
    <mergeCell ref="H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FA52-C812-4B96-8EF7-3D48F634C09E}">
  <dimension ref="A1:H60"/>
  <sheetViews>
    <sheetView tabSelected="1" topLeftCell="A50" zoomScale="85" zoomScaleNormal="85" workbookViewId="0">
      <selection activeCell="H48" sqref="H48"/>
    </sheetView>
  </sheetViews>
  <sheetFormatPr defaultRowHeight="15" x14ac:dyDescent="0.25"/>
  <cols>
    <col min="2" max="2" width="28.140625" customWidth="1"/>
    <col min="7" max="7" width="11.28515625" customWidth="1"/>
    <col min="8" max="8" width="109.140625" customWidth="1"/>
  </cols>
  <sheetData>
    <row r="1" spans="1:8" s="3" customFormat="1" ht="18.75" x14ac:dyDescent="0.3">
      <c r="A1" s="2" t="s">
        <v>58</v>
      </c>
    </row>
    <row r="2" spans="1:8" s="3" customFormat="1" ht="18.75" x14ac:dyDescent="0.3">
      <c r="A2" s="26" t="s">
        <v>105</v>
      </c>
    </row>
    <row r="3" spans="1:8" s="3" customFormat="1" ht="18.75" x14ac:dyDescent="0.3">
      <c r="A3" s="2"/>
      <c r="B3" s="3" t="s">
        <v>114</v>
      </c>
      <c r="H3" s="3" t="s">
        <v>115</v>
      </c>
    </row>
    <row r="4" spans="1:8" s="3" customFormat="1" ht="18.75" x14ac:dyDescent="0.3">
      <c r="A4" s="2"/>
      <c r="B4" s="3" t="s">
        <v>106</v>
      </c>
      <c r="H4" s="3" t="s">
        <v>116</v>
      </c>
    </row>
    <row r="5" spans="1:8" s="3" customFormat="1" ht="18.75" x14ac:dyDescent="0.3">
      <c r="A5" s="2"/>
      <c r="B5" s="3" t="s">
        <v>107</v>
      </c>
      <c r="H5" s="3" t="s">
        <v>117</v>
      </c>
    </row>
    <row r="6" spans="1:8" s="3" customFormat="1" ht="18.75" x14ac:dyDescent="0.3">
      <c r="A6" s="2"/>
      <c r="B6" s="3" t="s">
        <v>108</v>
      </c>
    </row>
    <row r="7" spans="1:8" s="3" customFormat="1" ht="18.75" x14ac:dyDescent="0.3"/>
    <row r="8" spans="1:8" s="3" customFormat="1" ht="33" customHeight="1" x14ac:dyDescent="0.3">
      <c r="A8" s="28" t="s">
        <v>6</v>
      </c>
      <c r="B8" s="28" t="s">
        <v>7</v>
      </c>
      <c r="C8" s="29" t="s">
        <v>8</v>
      </c>
      <c r="D8" s="28" t="s">
        <v>9</v>
      </c>
      <c r="E8" s="28" t="s">
        <v>2</v>
      </c>
    </row>
    <row r="9" spans="1:8" s="3" customFormat="1" ht="18.75" x14ac:dyDescent="0.3">
      <c r="A9" s="28"/>
      <c r="B9" s="28"/>
      <c r="C9" s="29"/>
      <c r="D9" s="28"/>
      <c r="E9" s="28"/>
    </row>
    <row r="10" spans="1:8" s="3" customFormat="1" ht="18.75" x14ac:dyDescent="0.3">
      <c r="A10" s="7" t="s">
        <v>10</v>
      </c>
      <c r="B10" s="7" t="s">
        <v>11</v>
      </c>
      <c r="C10" s="8"/>
      <c r="D10" s="28" t="s">
        <v>12</v>
      </c>
      <c r="E10" s="28"/>
    </row>
    <row r="11" spans="1:8" s="3" customFormat="1" ht="18.75" x14ac:dyDescent="0.3">
      <c r="A11" s="8">
        <v>1.1000000000000001</v>
      </c>
      <c r="B11" s="8" t="s">
        <v>13</v>
      </c>
      <c r="C11" s="8">
        <f>D60</f>
        <v>263</v>
      </c>
      <c r="D11" s="8" t="s">
        <v>14</v>
      </c>
      <c r="E11" s="8" t="s">
        <v>15</v>
      </c>
    </row>
    <row r="12" spans="1:8" s="3" customFormat="1" ht="18.75" x14ac:dyDescent="0.3">
      <c r="A12" s="8">
        <v>1.2</v>
      </c>
      <c r="B12" s="8" t="s">
        <v>16</v>
      </c>
      <c r="C12" s="8">
        <f>E60</f>
        <v>772</v>
      </c>
      <c r="D12" s="8" t="s">
        <v>17</v>
      </c>
      <c r="E12" s="8" t="s">
        <v>15</v>
      </c>
    </row>
    <row r="13" spans="1:8" s="3" customFormat="1" ht="18.75" x14ac:dyDescent="0.3">
      <c r="A13" s="8">
        <v>1.3</v>
      </c>
      <c r="B13" s="8" t="s">
        <v>109</v>
      </c>
      <c r="C13" s="8">
        <f>F60</f>
        <v>10750</v>
      </c>
      <c r="D13" s="8" t="s">
        <v>17</v>
      </c>
      <c r="E13" s="8" t="s">
        <v>15</v>
      </c>
    </row>
    <row r="14" spans="1:8" s="3" customFormat="1" ht="18.75" x14ac:dyDescent="0.3">
      <c r="A14" s="8">
        <v>1.4</v>
      </c>
      <c r="B14" s="8" t="s">
        <v>18</v>
      </c>
      <c r="C14" s="8">
        <v>3</v>
      </c>
      <c r="D14" s="8" t="s">
        <v>19</v>
      </c>
      <c r="E14" s="8" t="s">
        <v>15</v>
      </c>
    </row>
    <row r="15" spans="1:8" s="3" customFormat="1" ht="18.75" x14ac:dyDescent="0.3">
      <c r="A15" s="8">
        <v>1.5</v>
      </c>
      <c r="B15" s="8" t="s">
        <v>20</v>
      </c>
      <c r="C15" s="8"/>
      <c r="D15" s="8"/>
      <c r="E15" s="8"/>
    </row>
    <row r="16" spans="1:8" s="3" customFormat="1" ht="18.75" x14ac:dyDescent="0.3">
      <c r="A16" s="8">
        <v>1.6</v>
      </c>
      <c r="B16" s="8" t="s">
        <v>21</v>
      </c>
      <c r="C16" s="8">
        <f>COUNT(A29:A58)</f>
        <v>21</v>
      </c>
      <c r="D16" s="8" t="s">
        <v>22</v>
      </c>
      <c r="E16" s="8"/>
    </row>
    <row r="17" spans="1:8" s="3" customFormat="1" ht="18.75" x14ac:dyDescent="0.3">
      <c r="A17" s="7" t="s">
        <v>34</v>
      </c>
      <c r="B17" s="7" t="s">
        <v>24</v>
      </c>
      <c r="C17" s="8"/>
      <c r="D17" s="8"/>
      <c r="E17" s="7" t="s">
        <v>12</v>
      </c>
    </row>
    <row r="18" spans="1:8" s="3" customFormat="1" ht="18.75" x14ac:dyDescent="0.3">
      <c r="A18" s="8">
        <v>2.1</v>
      </c>
      <c r="B18" s="8" t="s">
        <v>25</v>
      </c>
      <c r="C18" s="8">
        <v>2</v>
      </c>
      <c r="D18" s="8" t="s">
        <v>26</v>
      </c>
      <c r="E18" s="8" t="s">
        <v>15</v>
      </c>
    </row>
    <row r="19" spans="1:8" s="3" customFormat="1" ht="18.75" x14ac:dyDescent="0.3">
      <c r="A19" s="7" t="s">
        <v>27</v>
      </c>
      <c r="B19" s="7" t="s">
        <v>28</v>
      </c>
      <c r="C19" s="8"/>
      <c r="D19" s="8"/>
      <c r="E19" s="7" t="s">
        <v>12</v>
      </c>
    </row>
    <row r="20" spans="1:8" s="3" customFormat="1" ht="18.75" x14ac:dyDescent="0.3">
      <c r="A20" s="8">
        <v>4.0999999999999996</v>
      </c>
      <c r="B20" s="8" t="s">
        <v>29</v>
      </c>
      <c r="C20" s="8">
        <f>G60</f>
        <v>6900</v>
      </c>
      <c r="D20" s="8" t="s">
        <v>17</v>
      </c>
      <c r="E20" s="8"/>
    </row>
    <row r="21" spans="1:8" s="3" customFormat="1" ht="18.75" x14ac:dyDescent="0.3">
      <c r="A21" s="7" t="s">
        <v>33</v>
      </c>
      <c r="B21" s="7" t="s">
        <v>30</v>
      </c>
      <c r="C21" s="8"/>
      <c r="D21" s="8" t="s">
        <v>12</v>
      </c>
      <c r="E21" s="7"/>
    </row>
    <row r="22" spans="1:8" s="3" customFormat="1" ht="18.75" x14ac:dyDescent="0.3">
      <c r="A22" s="8" t="s">
        <v>15</v>
      </c>
      <c r="B22" s="8" t="s">
        <v>31</v>
      </c>
      <c r="C22" s="8">
        <v>2</v>
      </c>
      <c r="D22" s="8" t="s">
        <v>23</v>
      </c>
      <c r="E22" s="8" t="s">
        <v>15</v>
      </c>
    </row>
    <row r="23" spans="1:8" s="3" customFormat="1" ht="18.75" x14ac:dyDescent="0.3">
      <c r="A23" s="8">
        <v>5.0999999999999996</v>
      </c>
      <c r="B23" s="8" t="s">
        <v>55</v>
      </c>
      <c r="C23" s="8">
        <v>2</v>
      </c>
      <c r="D23" s="8" t="s">
        <v>32</v>
      </c>
      <c r="E23" s="8"/>
    </row>
    <row r="24" spans="1:8" s="3" customFormat="1" ht="33" x14ac:dyDescent="0.3">
      <c r="A24" s="8">
        <v>5.2</v>
      </c>
      <c r="B24" s="8" t="s">
        <v>56</v>
      </c>
      <c r="C24" s="8">
        <v>2</v>
      </c>
      <c r="D24" s="8" t="s">
        <v>23</v>
      </c>
      <c r="E24" s="8"/>
    </row>
    <row r="25" spans="1:8" ht="23.25" x14ac:dyDescent="0.35">
      <c r="A25" s="13" t="s">
        <v>67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2"/>
      <c r="B27" s="12"/>
      <c r="C27" s="12"/>
      <c r="D27" s="12"/>
      <c r="E27" s="12"/>
      <c r="F27" s="12"/>
      <c r="G27" s="12"/>
      <c r="H27" s="12"/>
    </row>
    <row r="28" spans="1:8" ht="37.5" customHeight="1" x14ac:dyDescent="0.25">
      <c r="A28" s="14" t="s">
        <v>59</v>
      </c>
      <c r="B28" s="14" t="s">
        <v>0</v>
      </c>
      <c r="C28" s="14" t="s">
        <v>1</v>
      </c>
      <c r="D28" s="14" t="s">
        <v>14</v>
      </c>
      <c r="E28" s="14" t="s">
        <v>16</v>
      </c>
      <c r="F28" s="14" t="s">
        <v>60</v>
      </c>
      <c r="G28" s="14" t="s">
        <v>110</v>
      </c>
      <c r="H28" s="27" t="s">
        <v>118</v>
      </c>
    </row>
    <row r="29" spans="1:8" ht="18.75" x14ac:dyDescent="0.3">
      <c r="A29" s="15">
        <v>1</v>
      </c>
      <c r="B29" s="16" t="s">
        <v>61</v>
      </c>
      <c r="C29" s="17" t="s">
        <v>3</v>
      </c>
      <c r="D29" s="68">
        <v>4</v>
      </c>
      <c r="E29" s="68">
        <v>8</v>
      </c>
      <c r="F29" s="68">
        <v>100</v>
      </c>
      <c r="G29" s="68"/>
      <c r="H29" s="16" t="s">
        <v>120</v>
      </c>
    </row>
    <row r="30" spans="1:8" ht="18.75" x14ac:dyDescent="0.3">
      <c r="A30" s="15">
        <v>2</v>
      </c>
      <c r="B30" s="16" t="s">
        <v>62</v>
      </c>
      <c r="C30" s="17" t="s">
        <v>3</v>
      </c>
      <c r="D30" s="68">
        <v>4</v>
      </c>
      <c r="E30" s="68">
        <v>8</v>
      </c>
      <c r="F30" s="68">
        <v>100</v>
      </c>
      <c r="G30" s="68"/>
      <c r="H30" s="16" t="s">
        <v>120</v>
      </c>
    </row>
    <row r="31" spans="1:8" ht="19.5" thickBot="1" x14ac:dyDescent="0.35">
      <c r="A31" s="54"/>
      <c r="B31" s="54"/>
      <c r="C31" s="54"/>
      <c r="D31" s="70"/>
      <c r="E31" s="70"/>
      <c r="F31" s="70"/>
      <c r="G31" s="70"/>
      <c r="H31" s="54"/>
    </row>
    <row r="32" spans="1:8" ht="53.25" customHeight="1" x14ac:dyDescent="0.3">
      <c r="A32" s="55">
        <v>3</v>
      </c>
      <c r="B32" s="56" t="s">
        <v>63</v>
      </c>
      <c r="C32" s="57" t="s">
        <v>4</v>
      </c>
      <c r="D32" s="71">
        <v>8</v>
      </c>
      <c r="E32" s="71">
        <v>16</v>
      </c>
      <c r="F32" s="71">
        <v>100</v>
      </c>
      <c r="G32" s="71">
        <f>F32</f>
        <v>100</v>
      </c>
      <c r="H32" s="58" t="s">
        <v>121</v>
      </c>
    </row>
    <row r="33" spans="1:8" ht="18.75" x14ac:dyDescent="0.3">
      <c r="A33" s="59">
        <v>4</v>
      </c>
      <c r="B33" s="16" t="s">
        <v>64</v>
      </c>
      <c r="C33" s="19" t="s">
        <v>4</v>
      </c>
      <c r="D33" s="68">
        <v>8</v>
      </c>
      <c r="E33" s="68">
        <v>16</v>
      </c>
      <c r="F33" s="68">
        <v>100</v>
      </c>
      <c r="G33" s="68"/>
      <c r="H33" s="60" t="s">
        <v>120</v>
      </c>
    </row>
    <row r="34" spans="1:8" ht="19.5" thickBot="1" x14ac:dyDescent="0.35">
      <c r="A34" s="61">
        <v>5</v>
      </c>
      <c r="B34" s="62" t="s">
        <v>65</v>
      </c>
      <c r="C34" s="63" t="s">
        <v>4</v>
      </c>
      <c r="D34" s="72">
        <v>8</v>
      </c>
      <c r="E34" s="72">
        <v>16</v>
      </c>
      <c r="F34" s="72">
        <v>100</v>
      </c>
      <c r="G34" s="72"/>
      <c r="H34" s="64" t="s">
        <v>120</v>
      </c>
    </row>
    <row r="35" spans="1:8" ht="18.75" x14ac:dyDescent="0.25">
      <c r="A35" s="46">
        <v>6</v>
      </c>
      <c r="B35" s="47" t="s">
        <v>68</v>
      </c>
      <c r="C35" s="48" t="s">
        <v>4</v>
      </c>
      <c r="D35" s="73">
        <v>28</v>
      </c>
      <c r="E35" s="73">
        <v>72</v>
      </c>
      <c r="F35" s="71">
        <v>150</v>
      </c>
      <c r="G35" s="73"/>
      <c r="H35" s="49" t="s">
        <v>119</v>
      </c>
    </row>
    <row r="36" spans="1:8" ht="75" customHeight="1" thickBot="1" x14ac:dyDescent="0.3">
      <c r="A36" s="50"/>
      <c r="B36" s="51"/>
      <c r="C36" s="52"/>
      <c r="D36" s="72"/>
      <c r="E36" s="72"/>
      <c r="F36" s="72">
        <v>1600</v>
      </c>
      <c r="G36" s="72">
        <f>F36</f>
        <v>1600</v>
      </c>
      <c r="H36" s="53"/>
    </row>
    <row r="37" spans="1:8" ht="18.75" customHeight="1" x14ac:dyDescent="0.25">
      <c r="A37" s="42">
        <v>7</v>
      </c>
      <c r="B37" s="43" t="s">
        <v>69</v>
      </c>
      <c r="C37" s="44" t="s">
        <v>4</v>
      </c>
      <c r="D37" s="74">
        <v>28</v>
      </c>
      <c r="E37" s="74">
        <v>72</v>
      </c>
      <c r="F37" s="75">
        <v>150</v>
      </c>
      <c r="G37" s="74"/>
      <c r="H37" s="45" t="s">
        <v>119</v>
      </c>
    </row>
    <row r="38" spans="1:8" ht="75" customHeight="1" thickBot="1" x14ac:dyDescent="0.3">
      <c r="A38" s="42"/>
      <c r="B38" s="43"/>
      <c r="C38" s="44"/>
      <c r="D38" s="76"/>
      <c r="E38" s="76"/>
      <c r="F38" s="76">
        <v>1600</v>
      </c>
      <c r="G38" s="76">
        <f>F38</f>
        <v>1600</v>
      </c>
      <c r="H38" s="45"/>
    </row>
    <row r="39" spans="1:8" ht="18.75" x14ac:dyDescent="0.25">
      <c r="A39" s="46">
        <v>8</v>
      </c>
      <c r="B39" s="47" t="s">
        <v>70</v>
      </c>
      <c r="C39" s="48" t="s">
        <v>4</v>
      </c>
      <c r="D39" s="73">
        <v>28</v>
      </c>
      <c r="E39" s="73">
        <v>72</v>
      </c>
      <c r="F39" s="71">
        <v>150</v>
      </c>
      <c r="G39" s="73"/>
      <c r="H39" s="49" t="s">
        <v>119</v>
      </c>
    </row>
    <row r="40" spans="1:8" ht="75" customHeight="1" thickBot="1" x14ac:dyDescent="0.3">
      <c r="A40" s="50"/>
      <c r="B40" s="51"/>
      <c r="C40" s="52"/>
      <c r="D40" s="72"/>
      <c r="E40" s="72"/>
      <c r="F40" s="72">
        <v>1600</v>
      </c>
      <c r="G40" s="72">
        <f>F40</f>
        <v>1600</v>
      </c>
      <c r="H40" s="53"/>
    </row>
    <row r="41" spans="1:8" ht="18.75" x14ac:dyDescent="0.3">
      <c r="A41" s="65"/>
      <c r="B41" s="66"/>
      <c r="C41" s="67"/>
      <c r="D41" s="75"/>
      <c r="E41" s="75"/>
      <c r="F41" s="75"/>
      <c r="G41" s="75"/>
      <c r="H41" s="66"/>
    </row>
    <row r="42" spans="1:8" ht="37.5" x14ac:dyDescent="0.3">
      <c r="A42" s="15">
        <v>9</v>
      </c>
      <c r="B42" s="16" t="s">
        <v>104</v>
      </c>
      <c r="C42" s="19" t="s">
        <v>4</v>
      </c>
      <c r="D42" s="77">
        <v>16</v>
      </c>
      <c r="E42" s="77">
        <v>64</v>
      </c>
      <c r="F42" s="77">
        <v>300</v>
      </c>
      <c r="G42" s="77"/>
      <c r="H42" s="41" t="s">
        <v>122</v>
      </c>
    </row>
    <row r="43" spans="1:8" ht="37.5" x14ac:dyDescent="0.3">
      <c r="A43" s="15">
        <v>10</v>
      </c>
      <c r="B43" s="16" t="s">
        <v>104</v>
      </c>
      <c r="C43" s="19" t="s">
        <v>4</v>
      </c>
      <c r="D43" s="77">
        <v>16</v>
      </c>
      <c r="E43" s="77">
        <v>64</v>
      </c>
      <c r="F43" s="77">
        <v>300</v>
      </c>
      <c r="G43" s="77"/>
      <c r="H43" s="41" t="s">
        <v>122</v>
      </c>
    </row>
    <row r="44" spans="1:8" ht="37.5" x14ac:dyDescent="0.3">
      <c r="A44" s="15">
        <v>11</v>
      </c>
      <c r="B44" s="16" t="s">
        <v>104</v>
      </c>
      <c r="C44" s="19" t="s">
        <v>4</v>
      </c>
      <c r="D44" s="77">
        <v>16</v>
      </c>
      <c r="E44" s="77">
        <v>64</v>
      </c>
      <c r="F44" s="77">
        <v>300</v>
      </c>
      <c r="G44" s="77"/>
      <c r="H44" s="41" t="s">
        <v>122</v>
      </c>
    </row>
    <row r="45" spans="1:8" ht="18.75" x14ac:dyDescent="0.3">
      <c r="A45" s="15"/>
      <c r="B45" s="16"/>
      <c r="C45" s="19"/>
      <c r="D45" s="68"/>
      <c r="E45" s="68"/>
      <c r="F45" s="68"/>
      <c r="G45" s="68"/>
      <c r="H45" s="22"/>
    </row>
    <row r="46" spans="1:8" ht="37.5" x14ac:dyDescent="0.3">
      <c r="A46" s="15">
        <v>12</v>
      </c>
      <c r="B46" s="16" t="s">
        <v>92</v>
      </c>
      <c r="C46" s="19" t="s">
        <v>4</v>
      </c>
      <c r="D46" s="77">
        <v>12</v>
      </c>
      <c r="E46" s="77">
        <v>24</v>
      </c>
      <c r="F46" s="77">
        <v>200</v>
      </c>
      <c r="G46" s="77"/>
      <c r="H46" s="41" t="s">
        <v>123</v>
      </c>
    </row>
    <row r="47" spans="1:8" ht="37.5" x14ac:dyDescent="0.3">
      <c r="A47" s="15">
        <v>13</v>
      </c>
      <c r="B47" s="16" t="s">
        <v>93</v>
      </c>
      <c r="C47" s="19" t="s">
        <v>4</v>
      </c>
      <c r="D47" s="77">
        <v>12</v>
      </c>
      <c r="E47" s="77">
        <v>24</v>
      </c>
      <c r="F47" s="77">
        <v>200</v>
      </c>
      <c r="G47" s="77"/>
      <c r="H47" s="41" t="s">
        <v>123</v>
      </c>
    </row>
    <row r="48" spans="1:8" ht="37.5" x14ac:dyDescent="0.3">
      <c r="A48" s="15">
        <v>14</v>
      </c>
      <c r="B48" s="16" t="s">
        <v>94</v>
      </c>
      <c r="C48" s="19" t="s">
        <v>4</v>
      </c>
      <c r="D48" s="77">
        <v>12</v>
      </c>
      <c r="E48" s="77">
        <v>24</v>
      </c>
      <c r="F48" s="77">
        <v>200</v>
      </c>
      <c r="G48" s="77"/>
      <c r="H48" s="41" t="s">
        <v>123</v>
      </c>
    </row>
    <row r="49" spans="1:8" ht="18.75" x14ac:dyDescent="0.3">
      <c r="A49" s="15"/>
      <c r="B49" s="16"/>
      <c r="C49" s="19"/>
      <c r="D49" s="68"/>
      <c r="E49" s="68"/>
      <c r="F49" s="68"/>
      <c r="G49" s="68"/>
      <c r="H49" s="16"/>
    </row>
    <row r="50" spans="1:8" ht="56.25" x14ac:dyDescent="0.3">
      <c r="A50" s="15">
        <v>15</v>
      </c>
      <c r="B50" s="16" t="s">
        <v>66</v>
      </c>
      <c r="C50" s="19" t="s">
        <v>4</v>
      </c>
      <c r="D50" s="69">
        <v>12</v>
      </c>
      <c r="E50" s="69">
        <v>24</v>
      </c>
      <c r="F50" s="69">
        <v>500</v>
      </c>
      <c r="G50" s="69"/>
      <c r="H50" s="41" t="s">
        <v>124</v>
      </c>
    </row>
    <row r="51" spans="1:8" ht="18.75" x14ac:dyDescent="0.3">
      <c r="A51" s="25"/>
      <c r="B51" s="25"/>
      <c r="C51" s="25"/>
      <c r="D51" s="78"/>
      <c r="E51" s="78"/>
      <c r="F51" s="78"/>
      <c r="G51" s="78"/>
      <c r="H51" s="25"/>
    </row>
    <row r="52" spans="1:8" ht="75" x14ac:dyDescent="0.3">
      <c r="A52" s="15">
        <v>16</v>
      </c>
      <c r="B52" s="16" t="s">
        <v>95</v>
      </c>
      <c r="C52" s="20" t="s">
        <v>5</v>
      </c>
      <c r="D52" s="69">
        <v>8</v>
      </c>
      <c r="E52" s="69">
        <v>32</v>
      </c>
      <c r="F52" s="69">
        <v>500</v>
      </c>
      <c r="G52" s="68">
        <f>F52</f>
        <v>500</v>
      </c>
      <c r="H52" s="41" t="s">
        <v>125</v>
      </c>
    </row>
    <row r="53" spans="1:8" ht="75" x14ac:dyDescent="0.3">
      <c r="A53" s="15">
        <v>17</v>
      </c>
      <c r="B53" s="16" t="s">
        <v>96</v>
      </c>
      <c r="C53" s="20" t="s">
        <v>5</v>
      </c>
      <c r="D53" s="69">
        <v>8</v>
      </c>
      <c r="E53" s="69">
        <v>32</v>
      </c>
      <c r="F53" s="69">
        <v>500</v>
      </c>
      <c r="G53" s="68">
        <f>F53</f>
        <v>500</v>
      </c>
      <c r="H53" s="41" t="s">
        <v>125</v>
      </c>
    </row>
    <row r="54" spans="1:8" ht="75" x14ac:dyDescent="0.3">
      <c r="A54" s="15">
        <v>18</v>
      </c>
      <c r="B54" s="16" t="s">
        <v>97</v>
      </c>
      <c r="C54" s="20" t="s">
        <v>5</v>
      </c>
      <c r="D54" s="69">
        <v>8</v>
      </c>
      <c r="E54" s="69">
        <v>32</v>
      </c>
      <c r="F54" s="69">
        <v>500</v>
      </c>
      <c r="G54" s="68">
        <f>F54</f>
        <v>500</v>
      </c>
      <c r="H54" s="41" t="s">
        <v>125</v>
      </c>
    </row>
    <row r="55" spans="1:8" ht="18.75" x14ac:dyDescent="0.3">
      <c r="A55" s="15"/>
      <c r="B55" s="16"/>
      <c r="C55" s="20"/>
      <c r="D55" s="68"/>
      <c r="E55" s="68"/>
      <c r="F55" s="68"/>
      <c r="G55" s="68"/>
      <c r="H55" s="16"/>
    </row>
    <row r="56" spans="1:8" ht="75" x14ac:dyDescent="0.3">
      <c r="A56" s="15">
        <v>19</v>
      </c>
      <c r="B56" s="16" t="s">
        <v>98</v>
      </c>
      <c r="C56" s="20" t="s">
        <v>5</v>
      </c>
      <c r="D56" s="69">
        <v>9</v>
      </c>
      <c r="E56" s="69">
        <v>36</v>
      </c>
      <c r="F56" s="69">
        <v>500</v>
      </c>
      <c r="G56" s="68">
        <f>F56</f>
        <v>500</v>
      </c>
      <c r="H56" s="41" t="s">
        <v>125</v>
      </c>
    </row>
    <row r="57" spans="1:8" ht="56.25" x14ac:dyDescent="0.3">
      <c r="A57" s="15">
        <v>20</v>
      </c>
      <c r="B57" s="16" t="s">
        <v>99</v>
      </c>
      <c r="C57" s="20" t="s">
        <v>5</v>
      </c>
      <c r="D57" s="69">
        <v>9</v>
      </c>
      <c r="E57" s="69">
        <v>36</v>
      </c>
      <c r="F57" s="69">
        <v>500</v>
      </c>
      <c r="G57" s="69"/>
      <c r="H57" s="41" t="s">
        <v>126</v>
      </c>
    </row>
    <row r="58" spans="1:8" ht="56.25" x14ac:dyDescent="0.3">
      <c r="A58" s="15">
        <v>21</v>
      </c>
      <c r="B58" s="16" t="s">
        <v>100</v>
      </c>
      <c r="C58" s="20" t="s">
        <v>5</v>
      </c>
      <c r="D58" s="69">
        <v>9</v>
      </c>
      <c r="E58" s="69">
        <v>36</v>
      </c>
      <c r="F58" s="69">
        <v>500</v>
      </c>
      <c r="G58" s="69"/>
      <c r="H58" s="41" t="s">
        <v>126</v>
      </c>
    </row>
    <row r="59" spans="1:8" ht="18.75" x14ac:dyDescent="0.3">
      <c r="A59" s="25"/>
      <c r="B59" s="25"/>
      <c r="C59" s="25"/>
      <c r="D59" s="25"/>
      <c r="E59" s="25"/>
      <c r="F59" s="25"/>
      <c r="G59" s="25"/>
      <c r="H59" s="25"/>
    </row>
    <row r="60" spans="1:8" ht="18.75" x14ac:dyDescent="0.3">
      <c r="A60" s="34" t="s">
        <v>91</v>
      </c>
      <c r="B60" s="34"/>
      <c r="C60" s="34"/>
      <c r="D60" s="21">
        <f>SUM(D29:D59)</f>
        <v>263</v>
      </c>
      <c r="E60" s="21">
        <f>SUM(E29:E59)</f>
        <v>772</v>
      </c>
      <c r="F60" s="21">
        <f>SUM(F29:F58)</f>
        <v>10750</v>
      </c>
      <c r="G60" s="21">
        <f>SUM(G29:G58)</f>
        <v>6900</v>
      </c>
      <c r="H60" s="16"/>
    </row>
  </sheetData>
  <mergeCells count="16">
    <mergeCell ref="A60:C60"/>
    <mergeCell ref="H37:H38"/>
    <mergeCell ref="H39:H40"/>
    <mergeCell ref="H35:H36"/>
    <mergeCell ref="A35:A36"/>
    <mergeCell ref="B35:B36"/>
    <mergeCell ref="A37:A38"/>
    <mergeCell ref="B37:B38"/>
    <mergeCell ref="A39:A40"/>
    <mergeCell ref="B39:B40"/>
    <mergeCell ref="D10:E10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 tiết máy chủ 18 TB</vt:lpstr>
      <vt:lpstr>Chi tiết máy chủ 10TB</vt:lpstr>
      <vt:lpstr>Chi tiết máy chủ 5TB</vt:lpstr>
      <vt:lpstr>Băng thông</vt:lpstr>
      <vt:lpstr>Chi tiết máy chủ 4TB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</dc:creator>
  <cp:lastModifiedBy>Lê Trần Bá</cp:lastModifiedBy>
  <dcterms:created xsi:type="dcterms:W3CDTF">2025-07-22T06:35:16Z</dcterms:created>
  <dcterms:modified xsi:type="dcterms:W3CDTF">2026-06-10T02:38:31Z</dcterms:modified>
</cp:coreProperties>
</file>