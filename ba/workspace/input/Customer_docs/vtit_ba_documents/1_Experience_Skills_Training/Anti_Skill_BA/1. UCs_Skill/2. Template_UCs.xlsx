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ui Thi Thao\Desktop\Anti_Skill_BA\1. UCs_Skill\"/>
    </mc:Choice>
  </mc:AlternateContent>
  <xr:revisionPtr revIDLastSave="0" documentId="13_ncr:1_{B3B9D20B-3285-4C03-9BA8-C14F049AFDE9}" xr6:coauthVersionLast="47" xr6:coauthVersionMax="47" xr10:uidLastSave="{00000000-0000-0000-0000-000000000000}"/>
  <bookViews>
    <workbookView xWindow="-108" yWindow="-108" windowWidth="23256" windowHeight="12456" activeTab="1" xr2:uid="{43E64911-74C3-4953-BF3F-5FBB9B52AB93}"/>
  </bookViews>
  <sheets>
    <sheet name="Mẫu tài liệu" sheetId="2" r:id="rId1"/>
    <sheet name="Lưu ý"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2" l="1"/>
  <c r="G3" i="2" s="1"/>
  <c r="H3" i="2" s="1"/>
  <c r="I5" i="2"/>
  <c r="H4" i="2"/>
  <c r="H5" i="2"/>
  <c r="G4" i="2"/>
  <c r="G5" i="2"/>
  <c r="B4" i="2"/>
  <c r="B5" i="2"/>
  <c r="I3" i="2"/>
  <c r="B3" i="2"/>
  <c r="A4" i="2"/>
  <c r="A5" i="2"/>
  <c r="A3" i="2"/>
</calcChain>
</file>

<file path=xl/sharedStrings.xml><?xml version="1.0" encoding="utf-8"?>
<sst xmlns="http://schemas.openxmlformats.org/spreadsheetml/2006/main" count="30" uniqueCount="25">
  <si>
    <t>STT</t>
  </si>
  <si>
    <t>Nhận dữ liệu từ Cổng Dịch Vụ Công Quốc Gia</t>
  </si>
  <si>
    <t>Nhận dữ liệu Hồ sơ DVC được khởi tạo từ CDVCQG gửi về UBCKNN</t>
  </si>
  <si>
    <t>Tên Use-case</t>
  </si>
  <si>
    <t>Tên tác nhân</t>
  </si>
  <si>
    <t>Giao dịch (Transaction)</t>
  </si>
  <si>
    <t>Phân loại theo BMT</t>
  </si>
  <si>
    <t>Số Transaction</t>
  </si>
  <si>
    <t>Phân loại theo độ phức tạp</t>
  </si>
  <si>
    <t>#</t>
  </si>
  <si>
    <t>Phân loại luồng</t>
  </si>
  <si>
    <t>A</t>
  </si>
  <si>
    <t>Dữ liệu đầu ra</t>
  </si>
  <si>
    <t>Dữ liệu đầu vào</t>
  </si>
  <si>
    <t>CDVCQG; TTHC</t>
  </si>
  <si>
    <t>CDVCQG gửi dữ liệu Hồ sơ DVC được khởi tạo tới Phần mềm Trục tích hợp dữ liệu. Phần mềm Trục tích hợp dữ liệu chuyển tiếp dữ liệu tới TTHC.</t>
  </si>
  <si>
    <t>TTHC tiếp nhận dữ liệu Hồ sơ DVC được khởi tạo và gửi phản hồi cho Phần mềm Trục tích hợp dữ liệu (nếu có). Phần mềm Trục tích hợp dữ liệu ghi nhật ký xử lý.</t>
  </si>
  <si>
    <t>M</t>
  </si>
  <si>
    <t>Cột dữ liệu</t>
  </si>
  <si>
    <t>Chi tiết</t>
  </si>
  <si>
    <r>
      <t xml:space="preserve">Liệt kê các phân hệ/hệ thống hoặc con người có tác động đến </t>
    </r>
    <r>
      <rPr>
        <b/>
        <sz val="13"/>
        <color theme="1"/>
        <rFont val="Times New Roman"/>
        <family val="1"/>
      </rPr>
      <t>phần mềm đang quản lý</t>
    </r>
    <r>
      <rPr>
        <sz val="13"/>
        <color theme="1"/>
        <rFont val="Times New Roman"/>
        <family val="1"/>
      </rPr>
      <t xml:space="preserve">
Không coi phần mền đang quản lý là 1 tác nhân. Ví dụ:
</t>
    </r>
    <r>
      <rPr>
        <i/>
        <sz val="13"/>
        <color theme="1"/>
        <rFont val="Times New Roman"/>
        <family val="1"/>
      </rPr>
      <t>1 - QTHT xem danh sách người dùng. Phần mềm hiển thị danh sách ==&gt; có 1 tác nhân là QTHT (Quản trị hệ thống - con người)
2 - DVC gửi dữ liệu danh mục Quốc gia đến Phần mềm Trục tích hợp. Phần mềm Trục tích hợp tiếp nhận và chuyển tiếp đến TTHC ==&gt; có 2 tác nhân là DVC (Hệ thống Dịch vụ công) và TTHC (hệ thống Thủ tục hành chính)</t>
    </r>
  </si>
  <si>
    <t>Phân loại UseCase theo 3 tiêu chí:
- B: UseCase về Giao diện, màn hình
- M: UseCase về tích hợp hệ thống
- T: UseCase về AI</t>
  </si>
  <si>
    <t>Đếm số lượng dòng Transaction của UseCase</t>
  </si>
  <si>
    <r>
      <t xml:space="preserve">Phân loại phức tạp của UseCase theo 3 tiêu chí:
- Đơn gian: số lượng dòng Transaction </t>
    </r>
    <r>
      <rPr>
        <sz val="13"/>
        <color theme="1"/>
        <rFont val="Calibri"/>
        <family val="2"/>
      </rPr>
      <t>≤</t>
    </r>
    <r>
      <rPr>
        <sz val="11.05"/>
        <color theme="1"/>
        <rFont val="Times New Roman"/>
        <family val="1"/>
      </rPr>
      <t xml:space="preserve"> 3</t>
    </r>
    <r>
      <rPr>
        <sz val="13"/>
        <color theme="1"/>
        <rFont val="Times New Roman"/>
        <family val="1"/>
      </rPr>
      <t xml:space="preserve">
- Trung bình: số lượng dòng Transaction 3 &lt; X ≤ 7
- Phức tạp: số lượng dòng Transaction &gt; 7</t>
    </r>
  </si>
  <si>
    <t>Có 3 phân loại về luồng:
- Yêu cầu truy vấn ==&gt; cho các Transaction có tính chất truy vẫn dữ liệu
- Dữ liệu đầu ra ==&gt; cho các Transaction có tính chất cung cấp dữ liệu cho tác nhân
- Dữ liệu đầu vào ==&gt; cho các Transaction có tính chất cập nhật dữ liệu quản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</si>
</sst>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3"/>
      <color theme="1"/>
      <name val="Times New Roman"/>
      <family val="1"/>
    </font>
    <font>
      <b/>
      <sz val="13"/>
      <color theme="1"/>
      <name val="Times New Roman"/>
      <family val="1"/>
    </font>
    <font>
      <sz val="13"/>
      <color theme="1"/>
      <name val="Arial"/>
      <family val="2"/>
    </font>
    <font>
      <sz val="13"/>
      <color theme="1"/>
      <name val="Calibri"/>
      <family val="2"/>
      <scheme val="minor"/>
    </font>
    <font>
      <i/>
      <sz val="13"/>
      <color theme="1"/>
      <name val="Times New Roman"/>
      <family val="1"/>
    </font>
    <font>
      <sz val="13"/>
      <color theme="1"/>
      <name val="Calibri"/>
      <family val="2"/>
    </font>
    <font>
      <sz val="11.05"/>
      <color theme="1"/>
      <name val="Times New Roman"/>
      <family val="1"/>
    </font>
  </fonts>
  <fills count="6">
    <fill>
      <patternFill patternType="none"/>
    </fill>
    <fill>
      <patternFill patternType="gray125"/>
    </fill>
    <fill>
      <patternFill patternType="solid">
        <fgColor rgb="FFC6D9F0"/>
        <bgColor indexed="64"/>
      </patternFill>
    </fill>
    <fill>
      <patternFill patternType="solid">
        <fgColor rgb="FFCFE2F3"/>
        <bgColor indexed="64"/>
      </patternFill>
    </fill>
    <fill>
      <patternFill patternType="solid">
        <fgColor rgb="FFFFE599"/>
        <bgColor indexed="64"/>
      </patternFill>
    </fill>
    <fill>
      <patternFill patternType="solid">
        <fgColor rgb="FFFFFFFF"/>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2" fillId="4"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5"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0" borderId="4" xfId="0" applyFont="1" applyBorder="1" applyAlignment="1">
      <alignment horizontal="left" vertical="center" wrapText="1"/>
    </xf>
    <xf numFmtId="0" fontId="3" fillId="0" borderId="4" xfId="0" applyFont="1" applyBorder="1" applyAlignment="1">
      <alignment horizontal="left" vertical="center" wrapText="1"/>
    </xf>
    <xf numFmtId="0" fontId="4" fillId="0" borderId="0" xfId="0" applyFont="1" applyAlignment="1">
      <alignment horizontal="left" vertical="center" wrapText="1"/>
    </xf>
    <xf numFmtId="0" fontId="1" fillId="2" borderId="1" xfId="0" applyFont="1" applyFill="1" applyBorder="1" applyAlignment="1">
      <alignment horizontal="center" vertical="center" wrapText="1"/>
    </xf>
    <xf numFmtId="0" fontId="0" fillId="0" borderId="0" xfId="0" applyAlignment="1">
      <alignment horizontal="center" wrapText="1"/>
    </xf>
    <xf numFmtId="0" fontId="4" fillId="0" borderId="0" xfId="0" applyFont="1" applyAlignment="1">
      <alignment horizontal="center" vertical="center" wrapText="1"/>
    </xf>
    <xf numFmtId="0" fontId="3"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5" borderId="4" xfId="0" applyFont="1" applyFill="1" applyBorder="1" applyAlignment="1">
      <alignment horizontal="center" vertical="center" wrapText="1"/>
    </xf>
    <xf numFmtId="0" fontId="2" fillId="2" borderId="5" xfId="0" applyFont="1" applyFill="1" applyBorder="1" applyAlignment="1">
      <alignment horizontal="center" vertical="center"/>
    </xf>
    <xf numFmtId="0" fontId="1" fillId="2" borderId="5" xfId="0" applyFont="1" applyFill="1" applyBorder="1" applyAlignment="1">
      <alignment horizontal="left" vertical="center"/>
    </xf>
    <xf numFmtId="0" fontId="1" fillId="0" borderId="5" xfId="0" applyFont="1" applyBorder="1" applyAlignment="1"/>
    <xf numFmtId="0" fontId="0" fillId="0" borderId="0" xfId="0" applyAlignment="1">
      <alignment horizontal="left" vertical="center"/>
    </xf>
    <xf numFmtId="0" fontId="0" fillId="0" borderId="0" xfId="0" applyAlignment="1"/>
    <xf numFmtId="0" fontId="1"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7902-D7CD-4465-92F1-49365E851831}">
  <dimension ref="A1:J5"/>
  <sheetViews>
    <sheetView zoomScale="70" zoomScaleNormal="70" workbookViewId="0">
      <selection activeCell="E5" sqref="E5"/>
    </sheetView>
  </sheetViews>
  <sheetFormatPr defaultRowHeight="17.399999999999999" x14ac:dyDescent="0.3"/>
  <cols>
    <col min="1" max="2" width="8.88671875" style="19"/>
    <col min="3" max="3" width="39.33203125" style="16" bestFit="1" customWidth="1"/>
    <col min="4" max="4" width="19.109375" style="16" customWidth="1"/>
    <col min="5" max="5" width="82" style="16" customWidth="1"/>
    <col min="6" max="6" width="22.5546875" style="16" bestFit="1" customWidth="1"/>
    <col min="7" max="7" width="16.88671875" style="16" bestFit="1" customWidth="1"/>
    <col min="8" max="8" width="29.6640625" style="16" bestFit="1" customWidth="1"/>
    <col min="9" max="9" width="9.44140625" style="16" customWidth="1"/>
    <col min="10" max="10" width="26.77734375" style="16" customWidth="1"/>
    <col min="11" max="16384" width="8.88671875" style="1"/>
  </cols>
  <sheetData>
    <row r="1" spans="1:10" s="18" customFormat="1" thickBot="1" x14ac:dyDescent="0.35">
      <c r="A1" s="17">
        <v>0</v>
      </c>
      <c r="B1" s="2" t="s">
        <v>0</v>
      </c>
      <c r="C1" s="3" t="s">
        <v>3</v>
      </c>
      <c r="D1" s="2" t="s">
        <v>4</v>
      </c>
      <c r="E1" s="2" t="s">
        <v>5</v>
      </c>
      <c r="F1" s="2" t="s">
        <v>6</v>
      </c>
      <c r="G1" s="2" t="s">
        <v>7</v>
      </c>
      <c r="H1" s="2" t="s">
        <v>8</v>
      </c>
      <c r="I1" s="2" t="s">
        <v>9</v>
      </c>
      <c r="J1" s="2" t="s">
        <v>10</v>
      </c>
    </row>
    <row r="2" spans="1:10" ht="34.200000000000003" thickBot="1" x14ac:dyDescent="0.35">
      <c r="A2" s="4">
        <v>0</v>
      </c>
      <c r="B2" s="5" t="s">
        <v>11</v>
      </c>
      <c r="C2" s="10" t="s">
        <v>1</v>
      </c>
      <c r="D2" s="11"/>
      <c r="E2" s="11"/>
      <c r="F2" s="20"/>
      <c r="G2" s="20"/>
      <c r="H2" s="20"/>
      <c r="I2" s="20"/>
      <c r="J2" s="23"/>
    </row>
    <row r="3" spans="1:10" ht="34.200000000000003" thickBot="1" x14ac:dyDescent="0.35">
      <c r="A3" s="6">
        <f>IF(C3&lt;&gt;"",IF(D3&lt;&gt;"",MAX($A$1:A2)+1,MAX($A$1:A2)),MAX($A$1:A2))</f>
        <v>1</v>
      </c>
      <c r="B3" s="7">
        <f>IF(D3="","",A3)</f>
        <v>1</v>
      </c>
      <c r="C3" s="13" t="s">
        <v>2</v>
      </c>
      <c r="D3" s="14" t="s">
        <v>14</v>
      </c>
      <c r="E3" s="15"/>
      <c r="F3" s="8" t="s">
        <v>17</v>
      </c>
      <c r="G3" s="9">
        <f>IF(B3="","",COUNTIF(I:I,B3))</f>
        <v>2</v>
      </c>
      <c r="H3" s="9" t="str">
        <f>IF(D3="","",IF(AND(1&lt;=G3,G3&lt;4),"Đơn giản",IF(AND(G3&lt;8,4&lt;=G3),"Trung bình","Phức tạp")))</f>
        <v>Đơn giản</v>
      </c>
      <c r="I3" s="21" t="str">
        <f>IF(E3="","",MAX($B$3:B3))</f>
        <v/>
      </c>
      <c r="J3" s="23"/>
    </row>
    <row r="4" spans="1:10" ht="34.200000000000003" thickBot="1" x14ac:dyDescent="0.35">
      <c r="A4" s="6">
        <f>IF(C4&lt;&gt;"",IF(D4&lt;&gt;"",MAX($A$1:A3)+1,MAX($A$1:A3)),MAX($A$1:A3))</f>
        <v>1</v>
      </c>
      <c r="B4" s="7" t="str">
        <f t="shared" ref="B4:B5" si="0">IF(D4="","",A4)</f>
        <v/>
      </c>
      <c r="C4" s="12"/>
      <c r="D4" s="15"/>
      <c r="E4" s="13" t="s">
        <v>15</v>
      </c>
      <c r="F4" s="22"/>
      <c r="G4" s="9" t="str">
        <f t="shared" ref="G4:G5" si="1">IF(B4="","",COUNTIF(I:I,B4))</f>
        <v/>
      </c>
      <c r="H4" s="9" t="str">
        <f t="shared" ref="H4:H5" si="2">IF(D4="","",IF(AND(1&lt;=G4,G4&lt;4),"Đơn giản",IF(AND(G4&lt;8,4&lt;=G4),"Trung bình","Phức tạp")))</f>
        <v/>
      </c>
      <c r="I4" s="21">
        <f>IF(E4="","",MAX($B$3:B4))</f>
        <v>1</v>
      </c>
      <c r="J4" s="8" t="s">
        <v>13</v>
      </c>
    </row>
    <row r="5" spans="1:10" ht="51" thickBot="1" x14ac:dyDescent="0.35">
      <c r="A5" s="6">
        <f>IF(C5&lt;&gt;"",IF(D5&lt;&gt;"",MAX($A$1:A4)+1,MAX($A$1:A4)),MAX($A$1:A4))</f>
        <v>1</v>
      </c>
      <c r="B5" s="7" t="str">
        <f t="shared" si="0"/>
        <v/>
      </c>
      <c r="C5" s="12"/>
      <c r="D5" s="15"/>
      <c r="E5" s="13" t="s">
        <v>16</v>
      </c>
      <c r="F5" s="22"/>
      <c r="G5" s="9" t="str">
        <f t="shared" si="1"/>
        <v/>
      </c>
      <c r="H5" s="9" t="str">
        <f t="shared" si="2"/>
        <v/>
      </c>
      <c r="I5" s="21">
        <f>IF(E5="","",MAX($B$3:B5))</f>
        <v>1</v>
      </c>
      <c r="J5" s="8"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D676-C386-4830-9679-D51706424266}">
  <dimension ref="A1:B6"/>
  <sheetViews>
    <sheetView tabSelected="1" zoomScale="85" zoomScaleNormal="85" workbookViewId="0">
      <selection activeCell="B6" sqref="B6"/>
    </sheetView>
  </sheetViews>
  <sheetFormatPr defaultRowHeight="14.4" x14ac:dyDescent="0.3"/>
  <cols>
    <col min="1" max="1" width="29.5546875" style="27" customWidth="1"/>
    <col min="2" max="2" width="124.21875" style="28" customWidth="1"/>
    <col min="3" max="3" width="18" customWidth="1"/>
  </cols>
  <sheetData>
    <row r="1" spans="1:2" ht="16.8" x14ac:dyDescent="0.3">
      <c r="A1" s="24" t="s">
        <v>18</v>
      </c>
      <c r="B1" s="24" t="s">
        <v>19</v>
      </c>
    </row>
    <row r="2" spans="1:2" ht="100.8" x14ac:dyDescent="0.3">
      <c r="A2" s="25" t="s">
        <v>4</v>
      </c>
      <c r="B2" s="29" t="s">
        <v>20</v>
      </c>
    </row>
    <row r="3" spans="1:2" ht="67.2" x14ac:dyDescent="0.3">
      <c r="A3" s="25" t="s">
        <v>6</v>
      </c>
      <c r="B3" s="29" t="s">
        <v>21</v>
      </c>
    </row>
    <row r="4" spans="1:2" ht="16.8" x14ac:dyDescent="0.3">
      <c r="A4" s="25" t="s">
        <v>7</v>
      </c>
      <c r="B4" s="26" t="s">
        <v>22</v>
      </c>
    </row>
    <row r="5" spans="1:2" ht="67.8" x14ac:dyDescent="0.3">
      <c r="A5" s="25" t="s">
        <v>8</v>
      </c>
      <c r="B5" s="29" t="s">
        <v>23</v>
      </c>
    </row>
    <row r="6" spans="1:2" ht="67.2" x14ac:dyDescent="0.3">
      <c r="A6" s="25" t="s">
        <v>10</v>
      </c>
      <c r="B6" s="2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tài liệu</vt:lpstr>
      <vt:lpstr>Lưu 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Thao</dc:creator>
  <cp:lastModifiedBy>Bui Thi Thao</cp:lastModifiedBy>
  <dcterms:created xsi:type="dcterms:W3CDTF">2026-04-26T10:11:33Z</dcterms:created>
  <dcterms:modified xsi:type="dcterms:W3CDTF">2026-04-26T13:12:23Z</dcterms:modified>
</cp:coreProperties>
</file>